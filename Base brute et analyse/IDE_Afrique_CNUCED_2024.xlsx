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VY\Desktop\Doc_pdf\"/>
    </mc:Choice>
  </mc:AlternateContent>
  <xr:revisionPtr revIDLastSave="0" documentId="13_ncr:1_{96126209-6C49-4DB2-BF6A-97E2202573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DE par pays 2024" sheetId="1" r:id="rId1"/>
    <sheet name="Synthèse régiona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1" i="1" l="1"/>
  <c r="F60" i="1"/>
  <c r="F59" i="1"/>
  <c r="F58" i="1"/>
  <c r="F57" i="1"/>
  <c r="F55" i="1"/>
  <c r="F54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5" i="1"/>
  <c r="F34" i="1"/>
  <c r="F32" i="1"/>
  <c r="F31" i="1"/>
  <c r="F30" i="1"/>
  <c r="F29" i="1"/>
  <c r="F28" i="1"/>
  <c r="F25" i="1"/>
  <c r="F24" i="1"/>
  <c r="F23" i="1"/>
  <c r="F22" i="1"/>
  <c r="F21" i="1"/>
  <c r="F18" i="1"/>
  <c r="F17" i="1"/>
  <c r="F16" i="1"/>
  <c r="F15" i="1"/>
  <c r="F14" i="1"/>
  <c r="F13" i="1"/>
  <c r="F12" i="1"/>
  <c r="F11" i="1"/>
  <c r="F8" i="1"/>
  <c r="F7" i="1"/>
  <c r="F6" i="1"/>
  <c r="F5" i="1"/>
</calcChain>
</file>

<file path=xl/sharedStrings.xml><?xml version="1.0" encoding="utf-8"?>
<sst xmlns="http://schemas.openxmlformats.org/spreadsheetml/2006/main" count="322" uniqueCount="233">
  <si>
    <t>Rang</t>
  </si>
  <si>
    <t>Pays</t>
  </si>
  <si>
    <t>Sous-région</t>
  </si>
  <si>
    <t>IDE 2024
(Md$)</t>
  </si>
  <si>
    <t>IDE 2023
(Md$)</t>
  </si>
  <si>
    <t>Variation
(%)</t>
  </si>
  <si>
    <t>Var. vs continent</t>
  </si>
  <si>
    <t>Secteurs dominants</t>
  </si>
  <si>
    <t>Principaux investisseurs</t>
  </si>
  <si>
    <t>Commentaire</t>
  </si>
  <si>
    <t>▌ Afrique du Nord</t>
  </si>
  <si>
    <t>Égypte</t>
  </si>
  <si>
    <t>Afrique du Nord</t>
  </si>
  <si>
    <t>Construction &amp; immobilier, énergies renouvelables, tourisme</t>
  </si>
  <si>
    <t>Émirats arabes unis (Abu Dhabi), Europe</t>
  </si>
  <si>
    <t>Dominé par le mégaprojet Ras El-Hekma (35 Md$, fonds souverain d'Abu Dhabi)</t>
  </si>
  <si>
    <t>Maroc</t>
  </si>
  <si>
    <t>Énergies renouvelables, industrie, services</t>
  </si>
  <si>
    <t>Europe (France, Espagne), Golfe</t>
  </si>
  <si>
    <t>+55% vs 2023 ; hub régional logistique et industriel</t>
  </si>
  <si>
    <t>Tunisie</t>
  </si>
  <si>
    <t>Énergies renouvelables, industrie</t>
  </si>
  <si>
    <t>Europe (France, Allemagne, Italie)</t>
  </si>
  <si>
    <t>+21% vs 2023 ; méga-projet éolien 6 Md$ annoncé</t>
  </si>
  <si>
    <t>Algérie</t>
  </si>
  <si>
    <t>Hydrocarbures, pétrochimie</t>
  </si>
  <si>
    <t>Europe, Chine</t>
  </si>
  <si>
    <t>+18% vs 2023 ; potentiel énergétique sous-exploité</t>
  </si>
  <si>
    <t>Libye</t>
  </si>
  <si>
    <t>N/D</t>
  </si>
  <si>
    <t>Hydrocarbures</t>
  </si>
  <si>
    <t>Données non disponibles (instabilité politique)</t>
  </si>
  <si>
    <t>▌ Afrique de l'Est</t>
  </si>
  <si>
    <t>Éthiopie</t>
  </si>
  <si>
    <t>Afrique de l'Est</t>
  </si>
  <si>
    <t>Mines, immobilier, textile-habillement, énergies renouvelables</t>
  </si>
  <si>
    <t>Chine, Golfe, Europe</t>
  </si>
  <si>
    <t>2e pays africain ; parcs industriels attractifs</t>
  </si>
  <si>
    <t>Mozambique</t>
  </si>
  <si>
    <t>GNL, exploration minière, énergies renouvelables</t>
  </si>
  <si>
    <t>TotalEnergies (France), Italie, Chine</t>
  </si>
  <si>
    <t>Bassin de Rovuma ; forte composante hydrocarbures</t>
  </si>
  <si>
    <t>Ouganda</t>
  </si>
  <si>
    <t>Pétrole &amp; gaz, services financiers numériques</t>
  </si>
  <si>
    <t>TotalEnergies, Chine, Europe</t>
  </si>
  <si>
    <t>Pipeline EACOP ; réformes énergétiques actives</t>
  </si>
  <si>
    <t>Kenya</t>
  </si>
  <si>
    <t>Numérique, fintech, infrastructure, agriculture</t>
  </si>
  <si>
    <t>États-Unis, Europe, Chine</t>
  </si>
  <si>
    <t>Hub technologique régional ; Nairobi en forte croissance</t>
  </si>
  <si>
    <t>Tanzanie</t>
  </si>
  <si>
    <t>Mines, tourisme, gaz naturel</t>
  </si>
  <si>
    <t>Chine, Europe, Golfe</t>
  </si>
  <si>
    <t>Secteur minier solide ; diversification en cours</t>
  </si>
  <si>
    <t>Zambie</t>
  </si>
  <si>
    <t>Cuivre, mines (lithium), énergie</t>
  </si>
  <si>
    <t>Chine, Europe, États-Unis</t>
  </si>
  <si>
    <t>Transition énergétique : 2e producteur africain de cuivre</t>
  </si>
  <si>
    <t>Rwanda</t>
  </si>
  <si>
    <t>Services, tourisme, numérique, infrastructure</t>
  </si>
  <si>
    <t>États-Unis, Europe, Asie</t>
  </si>
  <si>
    <t>Hub régional services ; gouvernance exemplaire</t>
  </si>
  <si>
    <t>Djibouti</t>
  </si>
  <si>
    <t>Logistique, port, infrastructure</t>
  </si>
  <si>
    <t>Chine, Golfe</t>
  </si>
  <si>
    <t>Porte d'entrée stratégique Mer Rouge</t>
  </si>
  <si>
    <t>Somalie</t>
  </si>
  <si>
    <t>Instabilité sécuritaire — données indisponibles</t>
  </si>
  <si>
    <t>Érythrée</t>
  </si>
  <si>
    <t>Mines</t>
  </si>
  <si>
    <t>Chine</t>
  </si>
  <si>
    <t>Très peu de données disponibles</t>
  </si>
  <si>
    <t>Burundi</t>
  </si>
  <si>
    <t>Mines, agriculture</t>
  </si>
  <si>
    <t>Régional</t>
  </si>
  <si>
    <t>Flux très faibles</t>
  </si>
  <si>
    <t>Comores</t>
  </si>
  <si>
    <t>Tourisme</t>
  </si>
  <si>
    <t>France</t>
  </si>
  <si>
    <t>Flux marginaux</t>
  </si>
  <si>
    <t>Madagascar</t>
  </si>
  <si>
    <t>Mines, tourisme, agro</t>
  </si>
  <si>
    <t>France, Chine</t>
  </si>
  <si>
    <t>Nickel et cobalt attractifs</t>
  </si>
  <si>
    <t>Seychelles</t>
  </si>
  <si>
    <t>Tourisme, services financiers</t>
  </si>
  <si>
    <t>Europe, Golfe</t>
  </si>
  <si>
    <t>Paradis fiscal ; flux sous forme de stocks importants</t>
  </si>
  <si>
    <t>Maurice</t>
  </si>
  <si>
    <t>Services financiers, tourisme</t>
  </si>
  <si>
    <t>Inde, Europe, Chine</t>
  </si>
  <si>
    <t>Plateforme d'investissement vers l'Afrique subsaharienne</t>
  </si>
  <si>
    <t>Maldives/Mayotte</t>
  </si>
  <si>
    <t>Territoire français — hors périmètre CNUCED</t>
  </si>
  <si>
    <t>▌ Afrique centrale</t>
  </si>
  <si>
    <t>RDC</t>
  </si>
  <si>
    <t>Afrique centrale</t>
  </si>
  <si>
    <t>Cobalt, cuivre, mines pour batteries, hydrocarbures</t>
  </si>
  <si>
    <t>Chine, États-Unis, Europe</t>
  </si>
  <si>
    <t>Ressources stratégiques transition énergétique mondiale</t>
  </si>
  <si>
    <t>Cameroun</t>
  </si>
  <si>
    <t>Hydrocarbures, agro-industrie, infrastructure</t>
  </si>
  <si>
    <t>France, Chine, Golfe</t>
  </si>
  <si>
    <t>Hub économique de l'Afrique centrale</t>
  </si>
  <si>
    <t>Tchad</t>
  </si>
  <si>
    <t>Pétrole, infrastructure</t>
  </si>
  <si>
    <t>Chine, France</t>
  </si>
  <si>
    <t>Dépendance au pétrole ; contexte sécuritaire fragile</t>
  </si>
  <si>
    <t>Gabon</t>
  </si>
  <si>
    <t>Pétrole, manganèse, forêts</t>
  </si>
  <si>
    <t>Transition politique ; potentiel mines et forêts</t>
  </si>
  <si>
    <t>Congo-Brazzaville</t>
  </si>
  <si>
    <t>Pétrole, mines</t>
  </si>
  <si>
    <t>Économie dominée par les hydrocarbures</t>
  </si>
  <si>
    <t>RCA</t>
  </si>
  <si>
    <t>Mines (diamant, or)</t>
  </si>
  <si>
    <t>Russie, Chine</t>
  </si>
  <si>
    <t>Instabilité politique — flux très limités</t>
  </si>
  <si>
    <t>Guinée équatoriale</t>
  </si>
  <si>
    <t>Pétrole</t>
  </si>
  <si>
    <t>États-Unis, Europe</t>
  </si>
  <si>
    <t>Déclin production pétrolière</t>
  </si>
  <si>
    <t>São Tomé-et-Príncipe</t>
  </si>
  <si>
    <t>Tourisme, pêche</t>
  </si>
  <si>
    <t>Europe</t>
  </si>
  <si>
    <t>▌ Afrique de l'Ouest</t>
  </si>
  <si>
    <t>Côte d'Ivoire</t>
  </si>
  <si>
    <t>Afrique de l'Ouest</t>
  </si>
  <si>
    <t>Agro-industrie (cacao, café, anacarde), infrastructure, services</t>
  </si>
  <si>
    <t>France, Chine, Europe</t>
  </si>
  <si>
    <t>+34% vs 2023 ; 1re destination Afrique de l'Ouest</t>
  </si>
  <si>
    <t>Guinée</t>
  </si>
  <si>
    <t>Bauxite, minerai de fer, mines, ports</t>
  </si>
  <si>
    <t>Chine, Europe</t>
  </si>
  <si>
    <t>IDE doublés ; politique minière clarifiée</t>
  </si>
  <si>
    <t>Ghana</t>
  </si>
  <si>
    <t>Or, cacao, pétrole, numérique</t>
  </si>
  <si>
    <t>Europe, États-Unis, Chine</t>
  </si>
  <si>
    <t>Minéraux critiques ; capacités locales de raffinage</t>
  </si>
  <si>
    <t>Sénégal</t>
  </si>
  <si>
    <t>Hydrocarbures (pétrole &amp; gaz), pêche, agro</t>
  </si>
  <si>
    <t>1res productions pétrolières en cours ; Sangomar &amp; GTA</t>
  </si>
  <si>
    <t>Nigeria</t>
  </si>
  <si>
    <t>Pétrole &amp; gaz, fintech, services</t>
  </si>
  <si>
    <t>-42% vs 2023 ; instabilité macroéconomique et forex</t>
  </si>
  <si>
    <t>Mauritanie</t>
  </si>
  <si>
    <t>Hydrogène vert, mines (fer), pêche</t>
  </si>
  <si>
    <t>Europe (Espagne, France), Golfe</t>
  </si>
  <si>
    <t>Grand potentiel H2 vert ; 1ers mégaprojets annoncés</t>
  </si>
  <si>
    <t>Mali</t>
  </si>
  <si>
    <t>Or, mines</t>
  </si>
  <si>
    <t>Chine, Canada</t>
  </si>
  <si>
    <t>Flux en baisse ; instabilité politique</t>
  </si>
  <si>
    <t>Burkina Faso</t>
  </si>
  <si>
    <t>Mines (or)</t>
  </si>
  <si>
    <t>Canada, Chine, Europe</t>
  </si>
  <si>
    <t>Secteur minier dominant (66% des stocks IDE); contexte sécuritaire</t>
  </si>
  <si>
    <t>Niger</t>
  </si>
  <si>
    <t>Uranium, pétrole</t>
  </si>
  <si>
    <t>Nationalisation Orano ; flux très incertains</t>
  </si>
  <si>
    <t>Bénin</t>
  </si>
  <si>
    <t>Agro, logistique, services</t>
  </si>
  <si>
    <t>Hub logistique Afrique de l'Ouest</t>
  </si>
  <si>
    <t>Togo</t>
  </si>
  <si>
    <t>Phosphates, logistique, services</t>
  </si>
  <si>
    <t>Port de Lomé ; plateforme régionale</t>
  </si>
  <si>
    <t>Sierra Leone</t>
  </si>
  <si>
    <t>Mines (fer, diamant)</t>
  </si>
  <si>
    <t>Flux modestes ; potentiel sous-exploité</t>
  </si>
  <si>
    <t>Liberia</t>
  </si>
  <si>
    <t>Mines (fer), bois, caoutchouc</t>
  </si>
  <si>
    <t>Attractivité limitée</t>
  </si>
  <si>
    <t>Guinée-Bissau</t>
  </si>
  <si>
    <t>Anacarde, pêche</t>
  </si>
  <si>
    <t>Économie fragile ; flux très faibles</t>
  </si>
  <si>
    <t>Cap-Vert</t>
  </si>
  <si>
    <t>Tourisme, énergie renouvelable</t>
  </si>
  <si>
    <t>Europe (Portugal)</t>
  </si>
  <si>
    <t>Flux stables ; modèle tourisme insulaire</t>
  </si>
  <si>
    <t>Gambie</t>
  </si>
  <si>
    <t>Tourisme, agriculture</t>
  </si>
  <si>
    <t>▌ Afrique australe</t>
  </si>
  <si>
    <t>Afrique du Sud</t>
  </si>
  <si>
    <t>Afrique australe</t>
  </si>
  <si>
    <t>Mines (platine, or), industrie, services, numérique</t>
  </si>
  <si>
    <t>-53% vs 2023 ; instabilité énergétique et politique incertaine</t>
  </si>
  <si>
    <t>Namibie</t>
  </si>
  <si>
    <t>Hydrogène vert, mines (uranium, diamant), pétrole offshore</t>
  </si>
  <si>
    <t>Europe (Allemagne), Golfe, Chine</t>
  </si>
  <si>
    <t>Leader H2 vert ; retards réglementaires ralentissent les projets</t>
  </si>
  <si>
    <t>Angola</t>
  </si>
  <si>
    <t>Pétrole &amp; gaz, agriculture, infrastructure</t>
  </si>
  <si>
    <t>Dépendance pétrolière ; diversification économique en cours</t>
  </si>
  <si>
    <t>Zimbabwe</t>
  </si>
  <si>
    <t>Lithium, mines, agriculture</t>
  </si>
  <si>
    <t>1er producteur africain de lithium ; instabilité monétaire</t>
  </si>
  <si>
    <t>Botswana</t>
  </si>
  <si>
    <t>Diamants, mines, services</t>
  </si>
  <si>
    <t>Europe, Afrique du Sud</t>
  </si>
  <si>
    <t>1er producteur africain de diamants</t>
  </si>
  <si>
    <t>Malawi</t>
  </si>
  <si>
    <t>Agriculture (tabac), mines</t>
  </si>
  <si>
    <t>Flux très faibles ; économie rurale</t>
  </si>
  <si>
    <t>Eswatini</t>
  </si>
  <si>
    <t>Industrie textile, agriculture</t>
  </si>
  <si>
    <t>Lesotho</t>
  </si>
  <si>
    <t>Eau, textile, mines (diamant)</t>
  </si>
  <si>
    <t>Flux faibles</t>
  </si>
  <si>
    <t>SYNTHÈSE IDE PAR SOUS-RÉGION AFRICAINE — 2024</t>
  </si>
  <si>
    <t>IDE 2024 (Md$)</t>
  </si>
  <si>
    <t>IDE 2023 (Md$)</t>
  </si>
  <si>
    <t>Variation (%)</t>
  </si>
  <si>
    <t>Part continentale (%)</t>
  </si>
  <si>
    <t>Tendance</t>
  </si>
  <si>
    <t>+277%</t>
  </si>
  <si>
    <t>52%</t>
  </si>
  <si>
    <t>🔼 Forte hausse (Égypte)</t>
  </si>
  <si>
    <t>+12%</t>
  </si>
  <si>
    <t>19%</t>
  </si>
  <si>
    <t>🔼 Hausse modérée</t>
  </si>
  <si>
    <t>+14%</t>
  </si>
  <si>
    <t>12%</t>
  </si>
  <si>
    <t>↗ Légère hausse</t>
  </si>
  <si>
    <t>+44%</t>
  </si>
  <si>
    <t>10%</t>
  </si>
  <si>
    <t>🔼 Bonne dynamique</t>
  </si>
  <si>
    <t>+13%</t>
  </si>
  <si>
    <t>7%</t>
  </si>
  <si>
    <t>TOTAL AFRIQUE</t>
  </si>
  <si>
    <t>+75%</t>
  </si>
  <si>
    <t>100%</t>
  </si>
  <si>
    <t>🏆 Record historique</t>
  </si>
  <si>
    <t>INVESTISSEMENTS DIRECTS ÉTRANGERS (IDE) EN AFRIQUE 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</si>
</sst>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sz val="9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4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4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9" fillId="5" borderId="0" xfId="0" applyFont="1" applyFill="1"/>
    <xf numFmtId="0" fontId="10" fillId="5" borderId="0" xfId="0" applyFont="1" applyFill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4" fontId="4" fillId="5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pane ySplit="3" topLeftCell="A4" activePane="bottomLeft" state="frozen"/>
      <selection pane="bottomLeft" sqref="A1:J1"/>
    </sheetView>
  </sheetViews>
  <sheetFormatPr baseColWidth="10" defaultColWidth="8.88671875" defaultRowHeight="14.4" x14ac:dyDescent="0.3"/>
  <cols>
    <col min="1" max="1" width="6" customWidth="1"/>
    <col min="2" max="2" width="20" customWidth="1"/>
    <col min="3" max="3" width="18" customWidth="1"/>
    <col min="4" max="5" width="12" customWidth="1"/>
    <col min="6" max="6" width="11" customWidth="1"/>
    <col min="7" max="7" width="12" customWidth="1"/>
    <col min="8" max="8" width="40" customWidth="1"/>
    <col min="9" max="9" width="35" customWidth="1"/>
    <col min="10" max="10" width="42" customWidth="1"/>
  </cols>
  <sheetData>
    <row r="1" spans="1:10" ht="30" customHeight="1" x14ac:dyDescent="0.3">
      <c r="A1" s="14" t="s">
        <v>232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6.05" customHeight="1" x14ac:dyDescent="0.3">
      <c r="A2" s="16"/>
      <c r="B2" s="15"/>
      <c r="C2" s="15"/>
      <c r="D2" s="15"/>
      <c r="E2" s="15"/>
      <c r="F2" s="15"/>
      <c r="G2" s="15"/>
      <c r="H2" s="15"/>
      <c r="I2" s="15"/>
      <c r="J2" s="15"/>
    </row>
    <row r="3" spans="1:10" ht="36" customHeight="1" x14ac:dyDescent="0.3">
      <c r="A3" s="17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7" t="s">
        <v>7</v>
      </c>
      <c r="I3" s="17" t="s">
        <v>8</v>
      </c>
      <c r="J3" s="17" t="s">
        <v>9</v>
      </c>
    </row>
    <row r="4" spans="1:10" ht="19.95" customHeight="1" x14ac:dyDescent="0.3">
      <c r="A4" s="18" t="s">
        <v>10</v>
      </c>
      <c r="B4" s="15"/>
      <c r="C4" s="15"/>
      <c r="D4" s="15"/>
      <c r="E4" s="15"/>
      <c r="F4" s="15"/>
      <c r="G4" s="15"/>
      <c r="H4" s="15"/>
      <c r="I4" s="15"/>
      <c r="J4" s="15"/>
    </row>
    <row r="5" spans="1:10" ht="30" customHeight="1" x14ac:dyDescent="0.3">
      <c r="A5" s="19">
        <v>1</v>
      </c>
      <c r="B5" s="20" t="s">
        <v>11</v>
      </c>
      <c r="C5" s="21" t="s">
        <v>12</v>
      </c>
      <c r="D5" s="22">
        <v>46.57</v>
      </c>
      <c r="E5" s="22">
        <v>9.84</v>
      </c>
      <c r="F5" s="23">
        <f>IFERROR((D5-E5)/ABS(E5),"N/D")</f>
        <v>3.732723577235773</v>
      </c>
      <c r="G5" s="24"/>
      <c r="H5" s="24" t="s">
        <v>13</v>
      </c>
      <c r="I5" s="24" t="s">
        <v>14</v>
      </c>
      <c r="J5" s="24" t="s">
        <v>15</v>
      </c>
    </row>
    <row r="6" spans="1:10" ht="30" customHeight="1" x14ac:dyDescent="0.3">
      <c r="A6" s="19">
        <v>13</v>
      </c>
      <c r="B6" s="20" t="s">
        <v>16</v>
      </c>
      <c r="C6" s="21" t="s">
        <v>12</v>
      </c>
      <c r="D6" s="22">
        <v>1.63</v>
      </c>
      <c r="E6" s="22">
        <v>1.05</v>
      </c>
      <c r="F6" s="23">
        <f>IFERROR((D6-E6)/ABS(E6),"N/D")</f>
        <v>0.55238095238095219</v>
      </c>
      <c r="G6" s="24"/>
      <c r="H6" s="24" t="s">
        <v>17</v>
      </c>
      <c r="I6" s="24" t="s">
        <v>18</v>
      </c>
      <c r="J6" s="24" t="s">
        <v>19</v>
      </c>
    </row>
    <row r="7" spans="1:10" ht="30" customHeight="1" x14ac:dyDescent="0.3">
      <c r="A7" s="19"/>
      <c r="B7" s="20" t="s">
        <v>20</v>
      </c>
      <c r="C7" s="21" t="s">
        <v>12</v>
      </c>
      <c r="D7" s="22">
        <v>0.94</v>
      </c>
      <c r="E7" s="22">
        <v>0.77</v>
      </c>
      <c r="F7" s="23">
        <f>IFERROR((D7-E7)/ABS(E7),"N/D")</f>
        <v>0.22077922077922069</v>
      </c>
      <c r="G7" s="24"/>
      <c r="H7" s="24" t="s">
        <v>21</v>
      </c>
      <c r="I7" s="24" t="s">
        <v>22</v>
      </c>
      <c r="J7" s="24" t="s">
        <v>23</v>
      </c>
    </row>
    <row r="8" spans="1:10" ht="30" customHeight="1" x14ac:dyDescent="0.3">
      <c r="A8" s="19">
        <v>16</v>
      </c>
      <c r="B8" s="20" t="s">
        <v>24</v>
      </c>
      <c r="C8" s="21" t="s">
        <v>12</v>
      </c>
      <c r="D8" s="22">
        <v>1.43</v>
      </c>
      <c r="E8" s="22">
        <v>1.21</v>
      </c>
      <c r="F8" s="23">
        <f>IFERROR((D8-E8)/ABS(E8),"N/D")</f>
        <v>0.1818181818181818</v>
      </c>
      <c r="G8" s="24"/>
      <c r="H8" s="24" t="s">
        <v>25</v>
      </c>
      <c r="I8" s="24" t="s">
        <v>26</v>
      </c>
      <c r="J8" s="24" t="s">
        <v>27</v>
      </c>
    </row>
    <row r="9" spans="1:10" ht="30" customHeight="1" x14ac:dyDescent="0.3">
      <c r="A9" s="19"/>
      <c r="B9" s="20" t="s">
        <v>28</v>
      </c>
      <c r="C9" s="21" t="s">
        <v>12</v>
      </c>
      <c r="D9" s="21" t="s">
        <v>29</v>
      </c>
      <c r="E9" s="21" t="s">
        <v>29</v>
      </c>
      <c r="F9" s="21"/>
      <c r="G9" s="24"/>
      <c r="H9" s="24" t="s">
        <v>30</v>
      </c>
      <c r="I9" s="24" t="s">
        <v>26</v>
      </c>
      <c r="J9" s="24" t="s">
        <v>31</v>
      </c>
    </row>
    <row r="10" spans="1:10" ht="19.95" customHeight="1" x14ac:dyDescent="0.3">
      <c r="A10" s="18" t="s">
        <v>32</v>
      </c>
      <c r="B10" s="15"/>
      <c r="C10" s="15"/>
      <c r="D10" s="15"/>
      <c r="E10" s="15"/>
      <c r="F10" s="15"/>
      <c r="G10" s="15"/>
      <c r="H10" s="15"/>
      <c r="I10" s="15"/>
      <c r="J10" s="15"/>
    </row>
    <row r="11" spans="1:10" ht="30" customHeight="1" x14ac:dyDescent="0.3">
      <c r="A11" s="19">
        <v>2</v>
      </c>
      <c r="B11" s="20" t="s">
        <v>33</v>
      </c>
      <c r="C11" s="21" t="s">
        <v>34</v>
      </c>
      <c r="D11" s="22">
        <v>3.98</v>
      </c>
      <c r="E11" s="22">
        <v>3.26</v>
      </c>
      <c r="F11" s="23">
        <f t="shared" ref="F11:F18" si="0">IFERROR((D11-E11)/ABS(E11),"N/D")</f>
        <v>0.22085889570552156</v>
      </c>
      <c r="G11" s="24"/>
      <c r="H11" s="24" t="s">
        <v>35</v>
      </c>
      <c r="I11" s="24" t="s">
        <v>36</v>
      </c>
      <c r="J11" s="24" t="s">
        <v>37</v>
      </c>
    </row>
    <row r="12" spans="1:10" ht="30" customHeight="1" x14ac:dyDescent="0.3">
      <c r="A12" s="19">
        <v>4</v>
      </c>
      <c r="B12" s="20" t="s">
        <v>38</v>
      </c>
      <c r="C12" s="21" t="s">
        <v>34</v>
      </c>
      <c r="D12" s="22">
        <v>3.55</v>
      </c>
      <c r="E12" s="22">
        <v>2.5</v>
      </c>
      <c r="F12" s="23">
        <f t="shared" si="0"/>
        <v>0.41999999999999993</v>
      </c>
      <c r="G12" s="24"/>
      <c r="H12" s="24" t="s">
        <v>39</v>
      </c>
      <c r="I12" s="24" t="s">
        <v>40</v>
      </c>
      <c r="J12" s="24" t="s">
        <v>41</v>
      </c>
    </row>
    <row r="13" spans="1:10" ht="30" customHeight="1" x14ac:dyDescent="0.3">
      <c r="A13" s="19">
        <v>5</v>
      </c>
      <c r="B13" s="20" t="s">
        <v>42</v>
      </c>
      <c r="C13" s="21" t="s">
        <v>34</v>
      </c>
      <c r="D13" s="22">
        <v>3.3</v>
      </c>
      <c r="E13" s="22">
        <v>2.89</v>
      </c>
      <c r="F13" s="23">
        <f t="shared" si="0"/>
        <v>0.14186851211072654</v>
      </c>
      <c r="G13" s="24"/>
      <c r="H13" s="24" t="s">
        <v>43</v>
      </c>
      <c r="I13" s="24" t="s">
        <v>44</v>
      </c>
      <c r="J13" s="24" t="s">
        <v>45</v>
      </c>
    </row>
    <row r="14" spans="1:10" ht="30" customHeight="1" x14ac:dyDescent="0.3">
      <c r="A14" s="19">
        <v>15</v>
      </c>
      <c r="B14" s="20" t="s">
        <v>46</v>
      </c>
      <c r="C14" s="21" t="s">
        <v>34</v>
      </c>
      <c r="D14" s="22">
        <v>1.5</v>
      </c>
      <c r="E14" s="22">
        <v>1.1000000000000001</v>
      </c>
      <c r="F14" s="23">
        <f t="shared" si="0"/>
        <v>0.36363636363636354</v>
      </c>
      <c r="G14" s="24"/>
      <c r="H14" s="24" t="s">
        <v>47</v>
      </c>
      <c r="I14" s="24" t="s">
        <v>48</v>
      </c>
      <c r="J14" s="24" t="s">
        <v>49</v>
      </c>
    </row>
    <row r="15" spans="1:10" ht="30" customHeight="1" x14ac:dyDescent="0.3">
      <c r="A15" s="19">
        <v>11</v>
      </c>
      <c r="B15" s="20" t="s">
        <v>50</v>
      </c>
      <c r="C15" s="21" t="s">
        <v>34</v>
      </c>
      <c r="D15" s="22">
        <v>1.71</v>
      </c>
      <c r="E15" s="22">
        <v>1.45</v>
      </c>
      <c r="F15" s="23">
        <f t="shared" si="0"/>
        <v>0.17931034482758623</v>
      </c>
      <c r="G15" s="24"/>
      <c r="H15" s="24" t="s">
        <v>51</v>
      </c>
      <c r="I15" s="24" t="s">
        <v>52</v>
      </c>
      <c r="J15" s="24" t="s">
        <v>53</v>
      </c>
    </row>
    <row r="16" spans="1:10" ht="30" customHeight="1" x14ac:dyDescent="0.3">
      <c r="A16" s="19">
        <v>17</v>
      </c>
      <c r="B16" s="20" t="s">
        <v>54</v>
      </c>
      <c r="C16" s="21" t="s">
        <v>34</v>
      </c>
      <c r="D16" s="22">
        <v>1.23</v>
      </c>
      <c r="E16" s="22">
        <v>1.5</v>
      </c>
      <c r="F16" s="23">
        <f t="shared" si="0"/>
        <v>-0.18000000000000002</v>
      </c>
      <c r="G16" s="24"/>
      <c r="H16" s="24" t="s">
        <v>55</v>
      </c>
      <c r="I16" s="24" t="s">
        <v>56</v>
      </c>
      <c r="J16" s="24" t="s">
        <v>57</v>
      </c>
    </row>
    <row r="17" spans="1:10" ht="30" customHeight="1" x14ac:dyDescent="0.3">
      <c r="A17" s="19"/>
      <c r="B17" s="20" t="s">
        <v>58</v>
      </c>
      <c r="C17" s="21" t="s">
        <v>34</v>
      </c>
      <c r="D17" s="22">
        <v>0.5</v>
      </c>
      <c r="E17" s="22">
        <v>0.4</v>
      </c>
      <c r="F17" s="23">
        <f t="shared" si="0"/>
        <v>0.24999999999999994</v>
      </c>
      <c r="G17" s="24"/>
      <c r="H17" s="24" t="s">
        <v>59</v>
      </c>
      <c r="I17" s="24" t="s">
        <v>60</v>
      </c>
      <c r="J17" s="24" t="s">
        <v>61</v>
      </c>
    </row>
    <row r="18" spans="1:10" ht="30" customHeight="1" x14ac:dyDescent="0.3">
      <c r="A18" s="19"/>
      <c r="B18" s="20" t="s">
        <v>62</v>
      </c>
      <c r="C18" s="21" t="s">
        <v>34</v>
      </c>
      <c r="D18" s="22">
        <v>0.3</v>
      </c>
      <c r="E18" s="22">
        <v>0.28000000000000003</v>
      </c>
      <c r="F18" s="23">
        <f t="shared" si="0"/>
        <v>7.1428571428571286E-2</v>
      </c>
      <c r="G18" s="24"/>
      <c r="H18" s="24" t="s">
        <v>63</v>
      </c>
      <c r="I18" s="24" t="s">
        <v>64</v>
      </c>
      <c r="J18" s="24" t="s">
        <v>65</v>
      </c>
    </row>
    <row r="19" spans="1:10" ht="30" customHeight="1" x14ac:dyDescent="0.3">
      <c r="A19" s="19"/>
      <c r="B19" s="20" t="s">
        <v>66</v>
      </c>
      <c r="C19" s="21" t="s">
        <v>34</v>
      </c>
      <c r="D19" s="21" t="s">
        <v>29</v>
      </c>
      <c r="E19" s="21" t="s">
        <v>29</v>
      </c>
      <c r="F19" s="21"/>
      <c r="G19" s="24"/>
      <c r="H19" s="24" t="s">
        <v>29</v>
      </c>
      <c r="I19" s="24" t="s">
        <v>29</v>
      </c>
      <c r="J19" s="24" t="s">
        <v>67</v>
      </c>
    </row>
    <row r="20" spans="1:10" ht="30" customHeight="1" x14ac:dyDescent="0.3">
      <c r="A20" s="19"/>
      <c r="B20" s="20" t="s">
        <v>68</v>
      </c>
      <c r="C20" s="21" t="s">
        <v>34</v>
      </c>
      <c r="D20" s="21" t="s">
        <v>29</v>
      </c>
      <c r="E20" s="21" t="s">
        <v>29</v>
      </c>
      <c r="F20" s="21"/>
      <c r="G20" s="24"/>
      <c r="H20" s="24" t="s">
        <v>69</v>
      </c>
      <c r="I20" s="24" t="s">
        <v>70</v>
      </c>
      <c r="J20" s="24" t="s">
        <v>71</v>
      </c>
    </row>
    <row r="21" spans="1:10" ht="30" customHeight="1" x14ac:dyDescent="0.3">
      <c r="A21" s="19"/>
      <c r="B21" s="20" t="s">
        <v>72</v>
      </c>
      <c r="C21" s="21" t="s">
        <v>34</v>
      </c>
      <c r="D21" s="22">
        <v>0.02</v>
      </c>
      <c r="E21" s="22">
        <v>0.01</v>
      </c>
      <c r="F21" s="23">
        <f>IFERROR((D21-E21)/ABS(E21),"N/D")</f>
        <v>1</v>
      </c>
      <c r="G21" s="24"/>
      <c r="H21" s="24" t="s">
        <v>73</v>
      </c>
      <c r="I21" s="24" t="s">
        <v>74</v>
      </c>
      <c r="J21" s="24" t="s">
        <v>75</v>
      </c>
    </row>
    <row r="22" spans="1:10" ht="30" customHeight="1" x14ac:dyDescent="0.3">
      <c r="A22" s="19"/>
      <c r="B22" s="20" t="s">
        <v>76</v>
      </c>
      <c r="C22" s="21" t="s">
        <v>34</v>
      </c>
      <c r="D22" s="22">
        <v>0.01</v>
      </c>
      <c r="E22" s="22">
        <v>0.01</v>
      </c>
      <c r="F22" s="23">
        <f>IFERROR((D22-E22)/ABS(E22),"N/D")</f>
        <v>0</v>
      </c>
      <c r="G22" s="24"/>
      <c r="H22" s="24" t="s">
        <v>77</v>
      </c>
      <c r="I22" s="24" t="s">
        <v>78</v>
      </c>
      <c r="J22" s="24" t="s">
        <v>79</v>
      </c>
    </row>
    <row r="23" spans="1:10" ht="30" customHeight="1" x14ac:dyDescent="0.3">
      <c r="A23" s="19"/>
      <c r="B23" s="20" t="s">
        <v>80</v>
      </c>
      <c r="C23" s="21" t="s">
        <v>34</v>
      </c>
      <c r="D23" s="22">
        <v>0.4</v>
      </c>
      <c r="E23" s="22">
        <v>0.35</v>
      </c>
      <c r="F23" s="23">
        <f>IFERROR((D23-E23)/ABS(E23),"N/D")</f>
        <v>0.14285714285714299</v>
      </c>
      <c r="G23" s="24"/>
      <c r="H23" s="24" t="s">
        <v>81</v>
      </c>
      <c r="I23" s="24" t="s">
        <v>82</v>
      </c>
      <c r="J23" s="24" t="s">
        <v>83</v>
      </c>
    </row>
    <row r="24" spans="1:10" ht="30" customHeight="1" x14ac:dyDescent="0.3">
      <c r="A24" s="19"/>
      <c r="B24" s="20" t="s">
        <v>84</v>
      </c>
      <c r="C24" s="21" t="s">
        <v>34</v>
      </c>
      <c r="D24" s="22">
        <v>0.15</v>
      </c>
      <c r="E24" s="22">
        <v>0.12</v>
      </c>
      <c r="F24" s="23">
        <f>IFERROR((D24-E24)/ABS(E24),"N/D")</f>
        <v>0.25</v>
      </c>
      <c r="G24" s="24"/>
      <c r="H24" s="24" t="s">
        <v>85</v>
      </c>
      <c r="I24" s="24" t="s">
        <v>86</v>
      </c>
      <c r="J24" s="24" t="s">
        <v>87</v>
      </c>
    </row>
    <row r="25" spans="1:10" ht="30" customHeight="1" x14ac:dyDescent="0.3">
      <c r="A25" s="19"/>
      <c r="B25" s="20" t="s">
        <v>88</v>
      </c>
      <c r="C25" s="21" t="s">
        <v>34</v>
      </c>
      <c r="D25" s="22">
        <v>0.4</v>
      </c>
      <c r="E25" s="22">
        <v>0.38</v>
      </c>
      <c r="F25" s="23">
        <f>IFERROR((D25-E25)/ABS(E25),"N/D")</f>
        <v>5.2631578947368467E-2</v>
      </c>
      <c r="G25" s="24"/>
      <c r="H25" s="24" t="s">
        <v>89</v>
      </c>
      <c r="I25" s="24" t="s">
        <v>90</v>
      </c>
      <c r="J25" s="24" t="s">
        <v>91</v>
      </c>
    </row>
    <row r="26" spans="1:10" ht="30" customHeight="1" x14ac:dyDescent="0.3">
      <c r="A26" s="19"/>
      <c r="B26" s="20" t="s">
        <v>92</v>
      </c>
      <c r="C26" s="21" t="s">
        <v>34</v>
      </c>
      <c r="D26" s="21" t="s">
        <v>29</v>
      </c>
      <c r="E26" s="21" t="s">
        <v>29</v>
      </c>
      <c r="F26" s="21"/>
      <c r="G26" s="24"/>
      <c r="H26" s="24"/>
      <c r="I26" s="24"/>
      <c r="J26" s="24" t="s">
        <v>93</v>
      </c>
    </row>
    <row r="27" spans="1:10" ht="19.95" customHeight="1" x14ac:dyDescent="0.3">
      <c r="A27" s="18" t="s">
        <v>94</v>
      </c>
      <c r="B27" s="15"/>
      <c r="C27" s="15"/>
      <c r="D27" s="15"/>
      <c r="E27" s="15"/>
      <c r="F27" s="15"/>
      <c r="G27" s="15"/>
      <c r="H27" s="15"/>
      <c r="I27" s="15"/>
      <c r="J27" s="15"/>
    </row>
    <row r="28" spans="1:10" ht="30" customHeight="1" x14ac:dyDescent="0.3">
      <c r="A28" s="19">
        <v>6</v>
      </c>
      <c r="B28" s="20" t="s">
        <v>95</v>
      </c>
      <c r="C28" s="21" t="s">
        <v>96</v>
      </c>
      <c r="D28" s="22">
        <v>3.11</v>
      </c>
      <c r="E28" s="22">
        <v>3.6</v>
      </c>
      <c r="F28" s="23">
        <f>IFERROR((D28-E28)/ABS(E28),"N/D")</f>
        <v>-0.13611111111111115</v>
      </c>
      <c r="G28" s="24"/>
      <c r="H28" s="24" t="s">
        <v>97</v>
      </c>
      <c r="I28" s="24" t="s">
        <v>98</v>
      </c>
      <c r="J28" s="24" t="s">
        <v>99</v>
      </c>
    </row>
    <row r="29" spans="1:10" ht="30" customHeight="1" x14ac:dyDescent="0.3">
      <c r="A29" s="19"/>
      <c r="B29" s="20" t="s">
        <v>100</v>
      </c>
      <c r="C29" s="21" t="s">
        <v>96</v>
      </c>
      <c r="D29" s="22">
        <v>0.55000000000000004</v>
      </c>
      <c r="E29" s="22">
        <v>0.5</v>
      </c>
      <c r="F29" s="23">
        <f>IFERROR((D29-E29)/ABS(E29),"N/D")</f>
        <v>0.10000000000000009</v>
      </c>
      <c r="G29" s="24"/>
      <c r="H29" s="24" t="s">
        <v>101</v>
      </c>
      <c r="I29" s="24" t="s">
        <v>102</v>
      </c>
      <c r="J29" s="24" t="s">
        <v>103</v>
      </c>
    </row>
    <row r="30" spans="1:10" ht="30" customHeight="1" x14ac:dyDescent="0.3">
      <c r="A30" s="19">
        <v>20</v>
      </c>
      <c r="B30" s="20" t="s">
        <v>104</v>
      </c>
      <c r="C30" s="21" t="s">
        <v>96</v>
      </c>
      <c r="D30" s="22">
        <v>1.01</v>
      </c>
      <c r="E30" s="22">
        <v>0.85</v>
      </c>
      <c r="F30" s="23">
        <f>IFERROR((D30-E30)/ABS(E30),"N/D")</f>
        <v>0.18823529411764711</v>
      </c>
      <c r="G30" s="24"/>
      <c r="H30" s="24" t="s">
        <v>105</v>
      </c>
      <c r="I30" s="24" t="s">
        <v>106</v>
      </c>
      <c r="J30" s="24" t="s">
        <v>107</v>
      </c>
    </row>
    <row r="31" spans="1:10" ht="30" customHeight="1" x14ac:dyDescent="0.3">
      <c r="A31" s="19">
        <v>19</v>
      </c>
      <c r="B31" s="20" t="s">
        <v>108</v>
      </c>
      <c r="C31" s="21" t="s">
        <v>96</v>
      </c>
      <c r="D31" s="22">
        <v>1.1399999999999999</v>
      </c>
      <c r="E31" s="22">
        <v>1</v>
      </c>
      <c r="F31" s="23">
        <f>IFERROR((D31-E31)/ABS(E31),"N/D")</f>
        <v>0.1399999999999999</v>
      </c>
      <c r="G31" s="24"/>
      <c r="H31" s="24" t="s">
        <v>109</v>
      </c>
      <c r="I31" s="24" t="s">
        <v>82</v>
      </c>
      <c r="J31" s="24" t="s">
        <v>110</v>
      </c>
    </row>
    <row r="32" spans="1:10" ht="30" customHeight="1" x14ac:dyDescent="0.3">
      <c r="A32" s="19"/>
      <c r="B32" s="20" t="s">
        <v>111</v>
      </c>
      <c r="C32" s="21" t="s">
        <v>96</v>
      </c>
      <c r="D32" s="22">
        <v>0.6</v>
      </c>
      <c r="E32" s="22">
        <v>0.55000000000000004</v>
      </c>
      <c r="F32" s="23">
        <f>IFERROR((D32-E32)/ABS(E32),"N/D")</f>
        <v>9.0909090909090787E-2</v>
      </c>
      <c r="G32" s="24"/>
      <c r="H32" s="24" t="s">
        <v>112</v>
      </c>
      <c r="I32" s="24" t="s">
        <v>82</v>
      </c>
      <c r="J32" s="24" t="s">
        <v>113</v>
      </c>
    </row>
    <row r="33" spans="1:10" ht="30" customHeight="1" x14ac:dyDescent="0.3">
      <c r="A33" s="19"/>
      <c r="B33" s="20" t="s">
        <v>114</v>
      </c>
      <c r="C33" s="21" t="s">
        <v>96</v>
      </c>
      <c r="D33" s="21" t="s">
        <v>29</v>
      </c>
      <c r="E33" s="21" t="s">
        <v>29</v>
      </c>
      <c r="F33" s="21"/>
      <c r="G33" s="24"/>
      <c r="H33" s="24" t="s">
        <v>115</v>
      </c>
      <c r="I33" s="24" t="s">
        <v>116</v>
      </c>
      <c r="J33" s="24" t="s">
        <v>117</v>
      </c>
    </row>
    <row r="34" spans="1:10" ht="30" customHeight="1" x14ac:dyDescent="0.3">
      <c r="A34" s="19"/>
      <c r="B34" s="20" t="s">
        <v>118</v>
      </c>
      <c r="C34" s="21" t="s">
        <v>96</v>
      </c>
      <c r="D34" s="22">
        <v>0.3</v>
      </c>
      <c r="E34" s="22">
        <v>0.35</v>
      </c>
      <c r="F34" s="23">
        <f>IFERROR((D34-E34)/ABS(E34),"N/D")</f>
        <v>-0.14285714285714282</v>
      </c>
      <c r="G34" s="24"/>
      <c r="H34" s="24" t="s">
        <v>119</v>
      </c>
      <c r="I34" s="24" t="s">
        <v>120</v>
      </c>
      <c r="J34" s="24" t="s">
        <v>121</v>
      </c>
    </row>
    <row r="35" spans="1:10" ht="30" customHeight="1" x14ac:dyDescent="0.3">
      <c r="A35" s="19"/>
      <c r="B35" s="20" t="s">
        <v>122</v>
      </c>
      <c r="C35" s="21" t="s">
        <v>96</v>
      </c>
      <c r="D35" s="22">
        <v>0.02</v>
      </c>
      <c r="E35" s="22">
        <v>0.01</v>
      </c>
      <c r="F35" s="23">
        <f>IFERROR((D35-E35)/ABS(E35),"N/D")</f>
        <v>1</v>
      </c>
      <c r="G35" s="24"/>
      <c r="H35" s="24" t="s">
        <v>123</v>
      </c>
      <c r="I35" s="24" t="s">
        <v>124</v>
      </c>
      <c r="J35" s="24" t="s">
        <v>79</v>
      </c>
    </row>
    <row r="36" spans="1:10" ht="19.95" customHeight="1" x14ac:dyDescent="0.3">
      <c r="A36" s="18" t="s">
        <v>125</v>
      </c>
      <c r="B36" s="15"/>
      <c r="C36" s="15"/>
      <c r="D36" s="15"/>
      <c r="E36" s="15"/>
      <c r="F36" s="15"/>
      <c r="G36" s="15"/>
      <c r="H36" s="15"/>
      <c r="I36" s="15"/>
      <c r="J36" s="15"/>
    </row>
    <row r="37" spans="1:10" ht="30" customHeight="1" x14ac:dyDescent="0.3">
      <c r="A37" s="19">
        <v>3</v>
      </c>
      <c r="B37" s="20" t="s">
        <v>126</v>
      </c>
      <c r="C37" s="21" t="s">
        <v>127</v>
      </c>
      <c r="D37" s="22">
        <v>3.82</v>
      </c>
      <c r="E37" s="22">
        <v>2.85</v>
      </c>
      <c r="F37" s="23">
        <f t="shared" ref="F37:F52" si="1">IFERROR((D37-E37)/ABS(E37),"N/D")</f>
        <v>0.34035087719298235</v>
      </c>
      <c r="G37" s="24"/>
      <c r="H37" s="24" t="s">
        <v>128</v>
      </c>
      <c r="I37" s="24" t="s">
        <v>129</v>
      </c>
      <c r="J37" s="24" t="s">
        <v>130</v>
      </c>
    </row>
    <row r="38" spans="1:10" ht="30" customHeight="1" x14ac:dyDescent="0.3">
      <c r="A38" s="19">
        <v>10</v>
      </c>
      <c r="B38" s="20" t="s">
        <v>131</v>
      </c>
      <c r="C38" s="21" t="s">
        <v>127</v>
      </c>
      <c r="D38" s="22">
        <v>1.82</v>
      </c>
      <c r="E38" s="22">
        <v>0.9</v>
      </c>
      <c r="F38" s="23">
        <f t="shared" si="1"/>
        <v>1.0222222222222221</v>
      </c>
      <c r="G38" s="24"/>
      <c r="H38" s="24" t="s">
        <v>132</v>
      </c>
      <c r="I38" s="24" t="s">
        <v>133</v>
      </c>
      <c r="J38" s="24" t="s">
        <v>134</v>
      </c>
    </row>
    <row r="39" spans="1:10" ht="30" customHeight="1" x14ac:dyDescent="0.3">
      <c r="A39" s="19">
        <v>12</v>
      </c>
      <c r="B39" s="20" t="s">
        <v>135</v>
      </c>
      <c r="C39" s="21" t="s">
        <v>127</v>
      </c>
      <c r="D39" s="22">
        <v>1.66</v>
      </c>
      <c r="E39" s="22">
        <v>1.5</v>
      </c>
      <c r="F39" s="23">
        <f t="shared" si="1"/>
        <v>0.10666666666666662</v>
      </c>
      <c r="G39" s="24"/>
      <c r="H39" s="24" t="s">
        <v>136</v>
      </c>
      <c r="I39" s="24" t="s">
        <v>137</v>
      </c>
      <c r="J39" s="24" t="s">
        <v>138</v>
      </c>
    </row>
    <row r="40" spans="1:10" ht="30" customHeight="1" x14ac:dyDescent="0.3">
      <c r="A40" s="19">
        <v>9</v>
      </c>
      <c r="B40" s="20" t="s">
        <v>139</v>
      </c>
      <c r="C40" s="21" t="s">
        <v>127</v>
      </c>
      <c r="D40" s="22">
        <v>2.02</v>
      </c>
      <c r="E40" s="22">
        <v>2.64</v>
      </c>
      <c r="F40" s="23">
        <f t="shared" si="1"/>
        <v>-0.23484848484848489</v>
      </c>
      <c r="G40" s="24"/>
      <c r="H40" s="24" t="s">
        <v>140</v>
      </c>
      <c r="I40" s="24" t="s">
        <v>52</v>
      </c>
      <c r="J40" s="24" t="s">
        <v>141</v>
      </c>
    </row>
    <row r="41" spans="1:10" ht="30" customHeight="1" x14ac:dyDescent="0.3">
      <c r="A41" s="19">
        <v>18</v>
      </c>
      <c r="B41" s="20" t="s">
        <v>142</v>
      </c>
      <c r="C41" s="21" t="s">
        <v>127</v>
      </c>
      <c r="D41" s="22">
        <v>1.08</v>
      </c>
      <c r="E41" s="22">
        <v>1.87</v>
      </c>
      <c r="F41" s="23">
        <f t="shared" si="1"/>
        <v>-0.42245989304812831</v>
      </c>
      <c r="G41" s="24"/>
      <c r="H41" s="24" t="s">
        <v>143</v>
      </c>
      <c r="I41" s="24" t="s">
        <v>98</v>
      </c>
      <c r="J41" s="24" t="s">
        <v>144</v>
      </c>
    </row>
    <row r="42" spans="1:10" ht="30" customHeight="1" x14ac:dyDescent="0.3">
      <c r="A42" s="19">
        <v>14</v>
      </c>
      <c r="B42" s="20" t="s">
        <v>145</v>
      </c>
      <c r="C42" s="21" t="s">
        <v>127</v>
      </c>
      <c r="D42" s="22">
        <v>1.53</v>
      </c>
      <c r="E42" s="22">
        <v>1.1000000000000001</v>
      </c>
      <c r="F42" s="23">
        <f t="shared" si="1"/>
        <v>0.39090909090909082</v>
      </c>
      <c r="G42" s="24"/>
      <c r="H42" s="24" t="s">
        <v>146</v>
      </c>
      <c r="I42" s="24" t="s">
        <v>147</v>
      </c>
      <c r="J42" s="24" t="s">
        <v>148</v>
      </c>
    </row>
    <row r="43" spans="1:10" ht="30" customHeight="1" x14ac:dyDescent="0.3">
      <c r="A43" s="19"/>
      <c r="B43" s="20" t="s">
        <v>149</v>
      </c>
      <c r="C43" s="21" t="s">
        <v>127</v>
      </c>
      <c r="D43" s="22">
        <v>0.35</v>
      </c>
      <c r="E43" s="22">
        <v>0.45</v>
      </c>
      <c r="F43" s="23">
        <f t="shared" si="1"/>
        <v>-0.22222222222222229</v>
      </c>
      <c r="G43" s="24"/>
      <c r="H43" s="24" t="s">
        <v>150</v>
      </c>
      <c r="I43" s="24" t="s">
        <v>151</v>
      </c>
      <c r="J43" s="24" t="s">
        <v>152</v>
      </c>
    </row>
    <row r="44" spans="1:10" ht="30" customHeight="1" x14ac:dyDescent="0.3">
      <c r="A44" s="19"/>
      <c r="B44" s="20" t="s">
        <v>153</v>
      </c>
      <c r="C44" s="21" t="s">
        <v>127</v>
      </c>
      <c r="D44" s="22">
        <v>0.25</v>
      </c>
      <c r="E44" s="22">
        <v>0.3</v>
      </c>
      <c r="F44" s="23">
        <f t="shared" si="1"/>
        <v>-0.16666666666666663</v>
      </c>
      <c r="G44" s="24"/>
      <c r="H44" s="24" t="s">
        <v>154</v>
      </c>
      <c r="I44" s="24" t="s">
        <v>155</v>
      </c>
      <c r="J44" s="24" t="s">
        <v>156</v>
      </c>
    </row>
    <row r="45" spans="1:10" ht="30" customHeight="1" x14ac:dyDescent="0.3">
      <c r="A45" s="19"/>
      <c r="B45" s="20" t="s">
        <v>157</v>
      </c>
      <c r="C45" s="21" t="s">
        <v>127</v>
      </c>
      <c r="D45" s="22">
        <v>0.2</v>
      </c>
      <c r="E45" s="22">
        <v>0.35</v>
      </c>
      <c r="F45" s="23">
        <f t="shared" si="1"/>
        <v>-0.42857142857142849</v>
      </c>
      <c r="G45" s="24"/>
      <c r="H45" s="24" t="s">
        <v>158</v>
      </c>
      <c r="I45" s="24" t="s">
        <v>82</v>
      </c>
      <c r="J45" s="24" t="s">
        <v>159</v>
      </c>
    </row>
    <row r="46" spans="1:10" ht="30" customHeight="1" x14ac:dyDescent="0.3">
      <c r="A46" s="19"/>
      <c r="B46" s="20" t="s">
        <v>160</v>
      </c>
      <c r="C46" s="21" t="s">
        <v>127</v>
      </c>
      <c r="D46" s="22">
        <v>0.3</v>
      </c>
      <c r="E46" s="22">
        <v>0.28000000000000003</v>
      </c>
      <c r="F46" s="23">
        <f t="shared" si="1"/>
        <v>7.1428571428571286E-2</v>
      </c>
      <c r="G46" s="24"/>
      <c r="H46" s="24" t="s">
        <v>161</v>
      </c>
      <c r="I46" s="24" t="s">
        <v>82</v>
      </c>
      <c r="J46" s="24" t="s">
        <v>162</v>
      </c>
    </row>
    <row r="47" spans="1:10" ht="30" customHeight="1" x14ac:dyDescent="0.3">
      <c r="A47" s="19"/>
      <c r="B47" s="20" t="s">
        <v>163</v>
      </c>
      <c r="C47" s="21" t="s">
        <v>127</v>
      </c>
      <c r="D47" s="22">
        <v>0.22</v>
      </c>
      <c r="E47" s="22">
        <v>0.2</v>
      </c>
      <c r="F47" s="23">
        <f t="shared" si="1"/>
        <v>9.999999999999995E-2</v>
      </c>
      <c r="G47" s="24"/>
      <c r="H47" s="24" t="s">
        <v>164</v>
      </c>
      <c r="I47" s="24" t="s">
        <v>26</v>
      </c>
      <c r="J47" s="24" t="s">
        <v>165</v>
      </c>
    </row>
    <row r="48" spans="1:10" ht="30" customHeight="1" x14ac:dyDescent="0.3">
      <c r="A48" s="19"/>
      <c r="B48" s="20" t="s">
        <v>166</v>
      </c>
      <c r="C48" s="21" t="s">
        <v>127</v>
      </c>
      <c r="D48" s="22">
        <v>0.1</v>
      </c>
      <c r="E48" s="22">
        <v>0.08</v>
      </c>
      <c r="F48" s="23">
        <f t="shared" si="1"/>
        <v>0.25000000000000006</v>
      </c>
      <c r="G48" s="24"/>
      <c r="H48" s="24" t="s">
        <v>167</v>
      </c>
      <c r="I48" s="24" t="s">
        <v>133</v>
      </c>
      <c r="J48" s="24" t="s">
        <v>168</v>
      </c>
    </row>
    <row r="49" spans="1:10" ht="30" customHeight="1" x14ac:dyDescent="0.3">
      <c r="A49" s="19"/>
      <c r="B49" s="20" t="s">
        <v>169</v>
      </c>
      <c r="C49" s="21" t="s">
        <v>127</v>
      </c>
      <c r="D49" s="22">
        <v>0.25</v>
      </c>
      <c r="E49" s="22">
        <v>0.22</v>
      </c>
      <c r="F49" s="23">
        <f t="shared" si="1"/>
        <v>0.13636363636363635</v>
      </c>
      <c r="G49" s="24"/>
      <c r="H49" s="24" t="s">
        <v>170</v>
      </c>
      <c r="I49" s="24" t="s">
        <v>133</v>
      </c>
      <c r="J49" s="24" t="s">
        <v>171</v>
      </c>
    </row>
    <row r="50" spans="1:10" ht="30" customHeight="1" x14ac:dyDescent="0.3">
      <c r="A50" s="19"/>
      <c r="B50" s="20" t="s">
        <v>172</v>
      </c>
      <c r="C50" s="21" t="s">
        <v>127</v>
      </c>
      <c r="D50" s="22">
        <v>0.02</v>
      </c>
      <c r="E50" s="22">
        <v>0.02</v>
      </c>
      <c r="F50" s="23">
        <f t="shared" si="1"/>
        <v>0</v>
      </c>
      <c r="G50" s="24"/>
      <c r="H50" s="24" t="s">
        <v>173</v>
      </c>
      <c r="I50" s="24" t="s">
        <v>124</v>
      </c>
      <c r="J50" s="24" t="s">
        <v>174</v>
      </c>
    </row>
    <row r="51" spans="1:10" ht="30" customHeight="1" x14ac:dyDescent="0.3">
      <c r="A51" s="19"/>
      <c r="B51" s="20" t="s">
        <v>175</v>
      </c>
      <c r="C51" s="21" t="s">
        <v>127</v>
      </c>
      <c r="D51" s="22">
        <v>0.2</v>
      </c>
      <c r="E51" s="22">
        <v>0.18</v>
      </c>
      <c r="F51" s="23">
        <f t="shared" si="1"/>
        <v>0.11111111111111122</v>
      </c>
      <c r="G51" s="24"/>
      <c r="H51" s="24" t="s">
        <v>176</v>
      </c>
      <c r="I51" s="24" t="s">
        <v>177</v>
      </c>
      <c r="J51" s="24" t="s">
        <v>178</v>
      </c>
    </row>
    <row r="52" spans="1:10" ht="30" customHeight="1" x14ac:dyDescent="0.3">
      <c r="A52" s="19"/>
      <c r="B52" s="20" t="s">
        <v>179</v>
      </c>
      <c r="C52" s="21" t="s">
        <v>127</v>
      </c>
      <c r="D52" s="22">
        <v>0.03</v>
      </c>
      <c r="E52" s="22">
        <v>0.03</v>
      </c>
      <c r="F52" s="23">
        <f t="shared" si="1"/>
        <v>0</v>
      </c>
      <c r="G52" s="24"/>
      <c r="H52" s="24" t="s">
        <v>180</v>
      </c>
      <c r="I52" s="24" t="s">
        <v>124</v>
      </c>
      <c r="J52" s="24" t="s">
        <v>79</v>
      </c>
    </row>
    <row r="53" spans="1:10" ht="19.95" customHeight="1" x14ac:dyDescent="0.3">
      <c r="A53" s="18" t="s">
        <v>181</v>
      </c>
      <c r="B53" s="15"/>
      <c r="C53" s="15"/>
      <c r="D53" s="15"/>
      <c r="E53" s="15"/>
      <c r="F53" s="15"/>
      <c r="G53" s="15"/>
      <c r="H53" s="15"/>
      <c r="I53" s="15"/>
      <c r="J53" s="15"/>
    </row>
    <row r="54" spans="1:10" ht="30" customHeight="1" x14ac:dyDescent="0.3">
      <c r="A54" s="19">
        <v>7</v>
      </c>
      <c r="B54" s="20" t="s">
        <v>182</v>
      </c>
      <c r="C54" s="21" t="s">
        <v>183</v>
      </c>
      <c r="D54" s="22">
        <v>2.46</v>
      </c>
      <c r="E54" s="22">
        <v>5.23</v>
      </c>
      <c r="F54" s="23">
        <f>IFERROR((D54-E54)/ABS(E54),"N/D")</f>
        <v>-0.52963671128107082</v>
      </c>
      <c r="G54" s="24"/>
      <c r="H54" s="24" t="s">
        <v>184</v>
      </c>
      <c r="I54" s="24" t="s">
        <v>137</v>
      </c>
      <c r="J54" s="24" t="s">
        <v>185</v>
      </c>
    </row>
    <row r="55" spans="1:10" ht="30" customHeight="1" x14ac:dyDescent="0.3">
      <c r="A55" s="19">
        <v>8</v>
      </c>
      <c r="B55" s="20" t="s">
        <v>186</v>
      </c>
      <c r="C55" s="21" t="s">
        <v>183</v>
      </c>
      <c r="D55" s="22">
        <v>2.06</v>
      </c>
      <c r="E55" s="22">
        <v>2.34</v>
      </c>
      <c r="F55" s="23">
        <f>IFERROR((D55-E55)/ABS(E55),"N/D")</f>
        <v>-0.11965811965811958</v>
      </c>
      <c r="G55" s="24"/>
      <c r="H55" s="24" t="s">
        <v>187</v>
      </c>
      <c r="I55" s="24" t="s">
        <v>188</v>
      </c>
      <c r="J55" s="24" t="s">
        <v>189</v>
      </c>
    </row>
    <row r="56" spans="1:10" ht="30" customHeight="1" x14ac:dyDescent="0.3">
      <c r="A56" s="19"/>
      <c r="B56" s="20" t="s">
        <v>190</v>
      </c>
      <c r="C56" s="21" t="s">
        <v>183</v>
      </c>
      <c r="D56" s="21" t="s">
        <v>29</v>
      </c>
      <c r="E56" s="21" t="s">
        <v>29</v>
      </c>
      <c r="F56" s="21"/>
      <c r="G56" s="24"/>
      <c r="H56" s="24" t="s">
        <v>191</v>
      </c>
      <c r="I56" s="24" t="s">
        <v>56</v>
      </c>
      <c r="J56" s="24" t="s">
        <v>192</v>
      </c>
    </row>
    <row r="57" spans="1:10" ht="30" customHeight="1" x14ac:dyDescent="0.3">
      <c r="A57" s="19"/>
      <c r="B57" s="20" t="s">
        <v>193</v>
      </c>
      <c r="C57" s="21" t="s">
        <v>183</v>
      </c>
      <c r="D57" s="22">
        <v>0.35</v>
      </c>
      <c r="E57" s="22">
        <v>0.3</v>
      </c>
      <c r="F57" s="23">
        <f>IFERROR((D57-E57)/ABS(E57),"N/D")</f>
        <v>0.16666666666666663</v>
      </c>
      <c r="G57" s="24"/>
      <c r="H57" s="24" t="s">
        <v>194</v>
      </c>
      <c r="I57" s="24" t="s">
        <v>133</v>
      </c>
      <c r="J57" s="24" t="s">
        <v>195</v>
      </c>
    </row>
    <row r="58" spans="1:10" ht="30" customHeight="1" x14ac:dyDescent="0.3">
      <c r="A58" s="19"/>
      <c r="B58" s="20" t="s">
        <v>196</v>
      </c>
      <c r="C58" s="21" t="s">
        <v>183</v>
      </c>
      <c r="D58" s="22">
        <v>0.4</v>
      </c>
      <c r="E58" s="22">
        <v>0.45</v>
      </c>
      <c r="F58" s="23">
        <f>IFERROR((D58-E58)/ABS(E58),"N/D")</f>
        <v>-0.11111111111111108</v>
      </c>
      <c r="G58" s="24"/>
      <c r="H58" s="24" t="s">
        <v>197</v>
      </c>
      <c r="I58" s="24" t="s">
        <v>198</v>
      </c>
      <c r="J58" s="24" t="s">
        <v>199</v>
      </c>
    </row>
    <row r="59" spans="1:10" ht="30" customHeight="1" x14ac:dyDescent="0.3">
      <c r="A59" s="19"/>
      <c r="B59" s="20" t="s">
        <v>200</v>
      </c>
      <c r="C59" s="21" t="s">
        <v>183</v>
      </c>
      <c r="D59" s="22">
        <v>0.08</v>
      </c>
      <c r="E59" s="22">
        <v>7.0000000000000007E-2</v>
      </c>
      <c r="F59" s="23">
        <f>IFERROR((D59-E59)/ABS(E59),"N/D")</f>
        <v>0.14285714285714277</v>
      </c>
      <c r="G59" s="24"/>
      <c r="H59" s="24" t="s">
        <v>201</v>
      </c>
      <c r="I59" s="24" t="s">
        <v>133</v>
      </c>
      <c r="J59" s="24" t="s">
        <v>202</v>
      </c>
    </row>
    <row r="60" spans="1:10" ht="30" customHeight="1" x14ac:dyDescent="0.3">
      <c r="A60" s="19"/>
      <c r="B60" s="20" t="s">
        <v>203</v>
      </c>
      <c r="C60" s="21" t="s">
        <v>183</v>
      </c>
      <c r="D60" s="22">
        <v>0.05</v>
      </c>
      <c r="E60" s="22">
        <v>0.04</v>
      </c>
      <c r="F60" s="23">
        <f>IFERROR((D60-E60)/ABS(E60),"N/D")</f>
        <v>0.25000000000000006</v>
      </c>
      <c r="G60" s="24"/>
      <c r="H60" s="24" t="s">
        <v>204</v>
      </c>
      <c r="I60" s="24" t="s">
        <v>182</v>
      </c>
      <c r="J60" s="24" t="s">
        <v>79</v>
      </c>
    </row>
    <row r="61" spans="1:10" ht="30" customHeight="1" x14ac:dyDescent="0.3">
      <c r="A61" s="19"/>
      <c r="B61" s="20" t="s">
        <v>205</v>
      </c>
      <c r="C61" s="21" t="s">
        <v>183</v>
      </c>
      <c r="D61" s="22">
        <v>0.05</v>
      </c>
      <c r="E61" s="22">
        <v>0.05</v>
      </c>
      <c r="F61" s="23">
        <f>IFERROR((D61-E61)/ABS(E61),"N/D")</f>
        <v>0</v>
      </c>
      <c r="G61" s="24"/>
      <c r="H61" s="24" t="s">
        <v>206</v>
      </c>
      <c r="I61" s="24" t="s">
        <v>182</v>
      </c>
      <c r="J61" s="24" t="s">
        <v>207</v>
      </c>
    </row>
  </sheetData>
  <mergeCells count="7">
    <mergeCell ref="A1:J1"/>
    <mergeCell ref="A27:J27"/>
    <mergeCell ref="A53:J53"/>
    <mergeCell ref="A4:J4"/>
    <mergeCell ref="A2:J2"/>
    <mergeCell ref="A10:J10"/>
    <mergeCell ref="A36:J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pane ySplit="3" topLeftCell="A4" activePane="bottomLeft" state="frozen"/>
      <selection pane="bottomLeft" activeCell="C14" sqref="C14"/>
    </sheetView>
  </sheetViews>
  <sheetFormatPr baseColWidth="10" defaultColWidth="8.88671875" defaultRowHeight="14.4" x14ac:dyDescent="0.3"/>
  <cols>
    <col min="1" max="1" width="22" customWidth="1"/>
    <col min="2" max="3" width="15" customWidth="1"/>
    <col min="4" max="4" width="13" customWidth="1"/>
    <col min="5" max="5" width="17" customWidth="1"/>
    <col min="6" max="6" width="24" customWidth="1"/>
  </cols>
  <sheetData>
    <row r="1" spans="1:6" ht="28.05" customHeight="1" x14ac:dyDescent="0.3">
      <c r="A1" s="13" t="s">
        <v>208</v>
      </c>
      <c r="B1" s="11"/>
      <c r="C1" s="11"/>
      <c r="D1" s="11"/>
      <c r="E1" s="11"/>
      <c r="F1" s="11"/>
    </row>
    <row r="2" spans="1:6" x14ac:dyDescent="0.3">
      <c r="A2" s="12"/>
      <c r="B2" s="11"/>
      <c r="C2" s="11"/>
      <c r="D2" s="11"/>
      <c r="E2" s="11"/>
      <c r="F2" s="11"/>
    </row>
    <row r="3" spans="1:6" ht="30" customHeight="1" x14ac:dyDescent="0.3">
      <c r="A3" s="1" t="s">
        <v>2</v>
      </c>
      <c r="B3" s="1" t="s">
        <v>209</v>
      </c>
      <c r="C3" s="1" t="s">
        <v>210</v>
      </c>
      <c r="D3" s="1" t="s">
        <v>211</v>
      </c>
      <c r="E3" s="1" t="s">
        <v>212</v>
      </c>
      <c r="F3" s="1" t="s">
        <v>213</v>
      </c>
    </row>
    <row r="4" spans="1:6" ht="22.05" customHeight="1" x14ac:dyDescent="0.3">
      <c r="A4" s="2" t="s">
        <v>12</v>
      </c>
      <c r="B4" s="3">
        <v>50.67</v>
      </c>
      <c r="C4" s="3">
        <v>13.42</v>
      </c>
      <c r="D4" s="4" t="s">
        <v>214</v>
      </c>
      <c r="E4" s="4" t="s">
        <v>215</v>
      </c>
      <c r="F4" s="4" t="s">
        <v>216</v>
      </c>
    </row>
    <row r="5" spans="1:6" ht="22.05" customHeight="1" x14ac:dyDescent="0.3">
      <c r="A5" s="5" t="s">
        <v>34</v>
      </c>
      <c r="B5" s="6">
        <v>18</v>
      </c>
      <c r="C5" s="6">
        <v>16.07</v>
      </c>
      <c r="D5" s="7" t="s">
        <v>217</v>
      </c>
      <c r="E5" s="7" t="s">
        <v>218</v>
      </c>
      <c r="F5" s="7" t="s">
        <v>219</v>
      </c>
    </row>
    <row r="6" spans="1:6" ht="22.05" customHeight="1" x14ac:dyDescent="0.3">
      <c r="A6" s="2" t="s">
        <v>127</v>
      </c>
      <c r="B6" s="3">
        <v>12</v>
      </c>
      <c r="C6" s="3">
        <v>10.5</v>
      </c>
      <c r="D6" s="4" t="s">
        <v>220</v>
      </c>
      <c r="E6" s="4" t="s">
        <v>221</v>
      </c>
      <c r="F6" s="4" t="s">
        <v>222</v>
      </c>
    </row>
    <row r="7" spans="1:6" ht="22.05" customHeight="1" x14ac:dyDescent="0.3">
      <c r="A7" s="5" t="s">
        <v>183</v>
      </c>
      <c r="B7" s="6">
        <v>9.8000000000000007</v>
      </c>
      <c r="C7" s="6">
        <v>6.8</v>
      </c>
      <c r="D7" s="7" t="s">
        <v>223</v>
      </c>
      <c r="E7" s="7" t="s">
        <v>224</v>
      </c>
      <c r="F7" s="7" t="s">
        <v>225</v>
      </c>
    </row>
    <row r="8" spans="1:6" ht="22.05" customHeight="1" x14ac:dyDescent="0.3">
      <c r="A8" s="2" t="s">
        <v>96</v>
      </c>
      <c r="B8" s="3">
        <v>7</v>
      </c>
      <c r="C8" s="3">
        <v>6.2</v>
      </c>
      <c r="D8" s="4" t="s">
        <v>226</v>
      </c>
      <c r="E8" s="4" t="s">
        <v>227</v>
      </c>
      <c r="F8" s="4" t="s">
        <v>222</v>
      </c>
    </row>
    <row r="9" spans="1:6" ht="22.05" customHeight="1" x14ac:dyDescent="0.3">
      <c r="A9" s="8" t="s">
        <v>228</v>
      </c>
      <c r="B9" s="9">
        <v>97.03</v>
      </c>
      <c r="C9" s="9">
        <v>55.4</v>
      </c>
      <c r="D9" s="10" t="s">
        <v>229</v>
      </c>
      <c r="E9" s="10" t="s">
        <v>230</v>
      </c>
      <c r="F9" s="10" t="s">
        <v>231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IDE par pays 2024</vt:lpstr>
      <vt:lpstr>Synthèse régionale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Davy Souli</cp:lastModifiedBy>
  <dcterms:created xsi:type="dcterms:W3CDTF">2026-05-25T19:32:37Z</dcterms:created>
  <dcterms:modified xsi:type="dcterms:W3CDTF">2026-09-24T17:17:51Z</dcterms:modified>
</cp:coreProperties>
</file>
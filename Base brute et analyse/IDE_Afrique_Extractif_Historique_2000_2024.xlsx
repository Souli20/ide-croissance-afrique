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Y\Desktop\Doc_pdf\"/>
    </mc:Choice>
  </mc:AlternateContent>
  <xr:revisionPtr revIDLastSave="0" documentId="13_ncr:1_{917850AB-5DEB-4B4C-9D2F-4E99D2754D19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IDE Extractif vs Non-Extractif" sheetId="1" r:id="rId1"/>
    <sheet name="Evolution part extractive" sheetId="2" r:id="rId2"/>
    <sheet name="Classement dependance extractiv" sheetId="3" r:id="rId3"/>
    <sheet name="Feuil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5" l="1"/>
  <c r="E9" i="5"/>
  <c r="E6" i="5"/>
  <c r="E7" i="5"/>
  <c r="E5" i="5"/>
</calcChain>
</file>

<file path=xl/sharedStrings.xml><?xml version="1.0" encoding="utf-8"?>
<sst xmlns="http://schemas.openxmlformats.org/spreadsheetml/2006/main" count="700" uniqueCount="235">
  <si>
    <t>Pays</t>
  </si>
  <si>
    <t>Sous-région</t>
  </si>
  <si>
    <t>IDE Total
Moy/an
(M$)
2000-2024</t>
  </si>
  <si>
    <t>IDE Total
Cumul
(M$)
2000-2024</t>
  </si>
  <si>
    <t>Moy. IDE
Extractif/an
(M$)</t>
  </si>
  <si>
    <t>Cumul IDE
Extractif
(M$)</t>
  </si>
  <si>
    <t>Part Extractif
2000-2009
(%)</t>
  </si>
  <si>
    <t>Part Extractif
2010-2019
(%)</t>
  </si>
  <si>
    <t>Part Extractif
2020-2024
(%)</t>
  </si>
  <si>
    <t>Part Extractif
Moy 25 ans
(%)</t>
  </si>
  <si>
    <t>Détail secteur
extractif</t>
  </si>
  <si>
    <t>Moy. IDE
Non-Extrac./an
(M$)</t>
  </si>
  <si>
    <t>Cumul IDE
Non-Extrac.
(M$)</t>
  </si>
  <si>
    <t>Part Non-Ext.
2000-2009
(%)</t>
  </si>
  <si>
    <t>Part Non-Ext.
2010-2019
(%)</t>
  </si>
  <si>
    <t>Part Non-Ext.
2020-2024
(%)</t>
  </si>
  <si>
    <t>Part Non-Ext.
Moy 25 ans
(%)</t>
  </si>
  <si>
    <t>Sous-secteurs
non-extractifs</t>
  </si>
  <si>
    <t>▌  Afrique du Nord</t>
  </si>
  <si>
    <t>Égypte</t>
  </si>
  <si>
    <t>Afrique du Nord</t>
  </si>
  <si>
    <t>Hydrocarbures (pétrole &amp; gaz — EGPC, ENI, BP)</t>
  </si>
  <si>
    <t>Tourisme &amp; hôtellerie, construction, services financiers, industrie, Suez Canal Zone</t>
  </si>
  <si>
    <t>Maroc</t>
  </si>
  <si>
    <t>Phosphates (OCP group), exploration gazière</t>
  </si>
  <si>
    <t>Tourisme, BTP, énergie renouvelable, industrie automobile, services financiers, logistique</t>
  </si>
  <si>
    <t>Algérie</t>
  </si>
  <si>
    <t>Hydrocarbures (pétrole &amp; gaz — Sonatrach, Total, ENI, BP)</t>
  </si>
  <si>
    <t>BTP, pétrochimie, services, industrie</t>
  </si>
  <si>
    <t>Tunisie</t>
  </si>
  <si>
    <t>Phosphates (GCT), exploration gazière</t>
  </si>
  <si>
    <t>Énergie renouvelable, industrie (électrique, textile), tourisme, services</t>
  </si>
  <si>
    <t>Libye</t>
  </si>
  <si>
    <t>N/D</t>
  </si>
  <si>
    <t>Hydrocarbures (pétrole &amp; gaz — NOC, ENI, Total)</t>
  </si>
  <si>
    <t>Très peu (BTP limité)</t>
  </si>
  <si>
    <t>Soudan</t>
  </si>
  <si>
    <t>Pétrole (avant scission Soudan du Sud 2011), or</t>
  </si>
  <si>
    <t>Agriculture, services</t>
  </si>
  <si>
    <t>▌  Afrique de l'Est</t>
  </si>
  <si>
    <t>Éthiopie</t>
  </si>
  <si>
    <t>Afrique de l'Est</t>
  </si>
  <si>
    <t>Mines (or, potasse — MIDROC Gold, Allana Potash)</t>
  </si>
  <si>
    <t>Industrie textile, énergies renouvelables (barrages), agro-industrie, BTP, services</t>
  </si>
  <si>
    <t>Kenya</t>
  </si>
  <si>
    <t>Géothermie, exploration pétrolière (Turkana)</t>
  </si>
  <si>
    <t>Numérique &amp; fintech, services financiers, agro-industrie, infrastructure, tourisme</t>
  </si>
  <si>
    <t>Tanzanie</t>
  </si>
  <si>
    <t>Mines (or — Geita, Bulyanhulu), gaz naturel (Songas, Ophir Energy)</t>
  </si>
  <si>
    <t>Tourisme, agro-industrie, infrastructure, services</t>
  </si>
  <si>
    <t>Ouganda</t>
  </si>
  <si>
    <t>Pétrole &amp; gaz (EACOP — TotalEnergies, CNOOC), mines</t>
  </si>
  <si>
    <t>Énergie renouvelable, services financiers numériques, agro-industrie</t>
  </si>
  <si>
    <t>Mozambique</t>
  </si>
  <si>
    <t>GNL &amp; gaz naturel (TotalEnergies, ENI, Eni — bassin Rovuma), mines (charbon — Vale, Ncondezi)</t>
  </si>
  <si>
    <t>Agriculture, infrastructure, énergie renouvelable</t>
  </si>
  <si>
    <t>Zambie</t>
  </si>
  <si>
    <t>Cuivre (First Quantum, Glencore Mopani, IRH), cobalt, mines</t>
  </si>
  <si>
    <t>Agriculture, hydroélectricité, services</t>
  </si>
  <si>
    <t>Rwanda</t>
  </si>
  <si>
    <t>Mines (coltan, cassitérite, wolfram — Rwanda Mining)</t>
  </si>
  <si>
    <t>Services &amp; tourisme (hôtellerie), infrastructure, numérique, agro-industrie</t>
  </si>
  <si>
    <t>Madagascar</t>
  </si>
  <si>
    <t>Mines (nickel &amp; cobalt — Ambatovy/Sherritt, ilménite — Rio Tinto QMM, graphite)</t>
  </si>
  <si>
    <t>Tourisme, agro-industrie (vanille, girofle), pêche</t>
  </si>
  <si>
    <t>Maurice</t>
  </si>
  <si>
    <t>Pêche industrielle (quasi-négligeable)</t>
  </si>
  <si>
    <t>Services financiers &amp; île franche, tourisme, numérique, immobilier</t>
  </si>
  <si>
    <t>Djibouti</t>
  </si>
  <si>
    <t>Géothermie (exploration)</t>
  </si>
  <si>
    <t>Port &amp; logistique (DP World, CMA CGM), BTP, infrastructure, services</t>
  </si>
  <si>
    <t>Burundi</t>
  </si>
  <si>
    <t>Mines (or, niobium, colombotantalite)</t>
  </si>
  <si>
    <t>Agriculture (café, thé), services</t>
  </si>
  <si>
    <t>Seychelles</t>
  </si>
  <si>
    <t>Pêche industrielle</t>
  </si>
  <si>
    <t>Tourisme (dominant), services financiers offshore</t>
  </si>
  <si>
    <t>▌  Afrique centrale</t>
  </si>
  <si>
    <t>RDC</t>
  </si>
  <si>
    <t>Afrique centrale</t>
  </si>
  <si>
    <t>Mines (cobalt, cuivre — Glencore KCC, Freeport, Ivanhoe; or, coltan, cassitérite), hydrocarbures offshore</t>
  </si>
  <si>
    <t>Infrastructure, agriculture, services</t>
  </si>
  <si>
    <t>Cameroun</t>
  </si>
  <si>
    <t>Hydrocarbures (pétrole &amp; gaz — Perenco, Total, SNH), mines (bauxite — Hydromine)</t>
  </si>
  <si>
    <t>Agro-industrie, BTP, services, télécoms</t>
  </si>
  <si>
    <t>Gabon</t>
  </si>
  <si>
    <t>Pétrole (Total, Perenco, Maurel &amp; Prom), manganèse (Eramet-Comilog — 1er mondial)</t>
  </si>
  <si>
    <t>Forêts &amp; bois (Precious Woods), BTP, services</t>
  </si>
  <si>
    <t>Tchad</t>
  </si>
  <si>
    <t>Pétrole (ExxonMobil, Glencore, CNPC — bassin du Tchad)</t>
  </si>
  <si>
    <t>Congo-Brazzaville</t>
  </si>
  <si>
    <t>Pétrole (Total, ENI, Perenco, SNPC)</t>
  </si>
  <si>
    <t>BTP, agriculture, services (très limités)</t>
  </si>
  <si>
    <t>Guinée équatoriale</t>
  </si>
  <si>
    <t>Pétrole &amp; gaz (ExxonMobil, Marathon, Noble Energy, GEPetro)</t>
  </si>
  <si>
    <t>BTP, services (très limités)</t>
  </si>
  <si>
    <t>RCA</t>
  </si>
  <si>
    <t>Mines (diamant, or, uranium — Areva/Orano)</t>
  </si>
  <si>
    <t>Agriculture, services (très limités)</t>
  </si>
  <si>
    <t>▌  Afrique de l'Ouest</t>
  </si>
  <si>
    <t>Nigeria</t>
  </si>
  <si>
    <t>Afrique de l'Ouest</t>
  </si>
  <si>
    <t>Pétrole &amp; gaz (Shell, Chevron, ExxonMobil, Total — Delta du Niger)</t>
  </si>
  <si>
    <t>Fintech &amp; numérique, services financiers, télécom, agro-industrie</t>
  </si>
  <si>
    <t>Ghana</t>
  </si>
  <si>
    <t>Or (AngloGold Ashanti, Gold Fields, Newmont — Ahafo), pétrole offshore (Tullow, Jubilee), bauxite</t>
  </si>
  <si>
    <t>Industrie, services financiers, agro-industrie (cacao), télécom</t>
  </si>
  <si>
    <t>Côte d'Ivoire</t>
  </si>
  <si>
    <t>Pétrole &amp; gaz offshore (Baobab, Baleine — ENI), mines (or, manganèse)</t>
  </si>
  <si>
    <t>Agro-industrie (cacao, café, anacarde), BTP, services financiers, télécom, logistique</t>
  </si>
  <si>
    <t>Sénégal</t>
  </si>
  <si>
    <t>Pétrole (Sangomar — Woodside), gaz (GTA — BP, Kosmos), phosphates</t>
  </si>
  <si>
    <t>Agro-industrie, pêche, infrastructure, services</t>
  </si>
  <si>
    <t>Guinée</t>
  </si>
  <si>
    <t>Bauxite (Rio Tinto, SMB-Winning, CBG), fer (Simfer), or (AngloGold, Kinross)</t>
  </si>
  <si>
    <t>Infrastructure portuaire, logistique, services (très limités)</t>
  </si>
  <si>
    <t>Mauritanie</t>
  </si>
  <si>
    <t>Fer (SNIM), or (Kinross Tasiast), pétrole (Chinguetti), pêche industrielle</t>
  </si>
  <si>
    <t>Hydrogène vert (Chariot, CWP), pêche, services</t>
  </si>
  <si>
    <t>Mali</t>
  </si>
  <si>
    <t>Or (AngloGold Loulo-Gounkoto, Barrick, Randgold, B2Gold)</t>
  </si>
  <si>
    <t>Agriculture (coton, mil), services</t>
  </si>
  <si>
    <t>Burkina Faso</t>
  </si>
  <si>
    <t>Or (Endeavour Mining — Houndé, Mana; Semafo, IAMGOLD)</t>
  </si>
  <si>
    <t>Agriculture, services (limités)</t>
  </si>
  <si>
    <t>Niger</t>
  </si>
  <si>
    <t>Uranium (Orano — Arlit, anciennement Areva), pétrole (CNPC — Agadem)</t>
  </si>
  <si>
    <t>Bénin</t>
  </si>
  <si>
    <t>Exploration pétrolière, phosphates</t>
  </si>
  <si>
    <t>Agro-industrie (coton, anacarde), logistique &amp; port, services, BTP</t>
  </si>
  <si>
    <t>Togo</t>
  </si>
  <si>
    <t>Phosphates (OTP — 1er producteur Afrique subsaharienne), mines</t>
  </si>
  <si>
    <t>Port de Lomé &amp; logistique, services, agro-industrie</t>
  </si>
  <si>
    <t>Sierra Leone</t>
  </si>
  <si>
    <t>Mines (fer — London Mining, SL Mining; diamant, rutile, bauxite)</t>
  </si>
  <si>
    <t>Liberia</t>
  </si>
  <si>
    <t>Mines (fer — ArcelorMittal), bois, caoutchouc (Firestone)</t>
  </si>
  <si>
    <t>Agriculture (caoutchouc), services, pêche</t>
  </si>
  <si>
    <t>Cap-Vert</t>
  </si>
  <si>
    <t>Très peu (exploration gazière)</t>
  </si>
  <si>
    <t>Tourisme, énergie renouvelable (éolien), services</t>
  </si>
  <si>
    <t>Gambie</t>
  </si>
  <si>
    <t>Très peu</t>
  </si>
  <si>
    <t>Tourisme, agriculture (arachides), services</t>
  </si>
  <si>
    <t>Guinée-Bissau</t>
  </si>
  <si>
    <t>Phosphates (exploration)</t>
  </si>
  <si>
    <t>Anacarde (dominant), pêche, services</t>
  </si>
  <si>
    <t>▌  Afrique australe</t>
  </si>
  <si>
    <t>Afrique du Sud</t>
  </si>
  <si>
    <t>Afrique australe</t>
  </si>
  <si>
    <t>Mines (platine &amp; PGM — Anglo American, Implats; or, charbon, diamants, manganèse)</t>
  </si>
  <si>
    <t>Services financiers, industrie manufact., automobile, numérique, énergie</t>
  </si>
  <si>
    <t>Angola</t>
  </si>
  <si>
    <t>Pétrole &amp; gaz (TotalEnergies, ExxonMobil, BP, Chevron, Eni — offshore Cabinda et blocs deep water)</t>
  </si>
  <si>
    <t>Agriculture, BTP, services (très limités)</t>
  </si>
  <si>
    <t>Namibie</t>
  </si>
  <si>
    <t>Mines (uranium — Rössing Uranium/CGN, Husab; diamants — Namdeb/De Beers), exploration pétrolière offshore (Shell, TotalEnergies)</t>
  </si>
  <si>
    <t>Hydrogène vert (Hyphen, Enertrag, CWP), tourisme, pêche, agriculture</t>
  </si>
  <si>
    <t>Zimbabwe</t>
  </si>
  <si>
    <t>Lithium (Arcadia-Zhejiang Huayou, Bikita Minerals — Sinomine), or, platine (Zimplats)</t>
  </si>
  <si>
    <t>Agriculture (tabac), services, industrie</t>
  </si>
  <si>
    <t>Botswana</t>
  </si>
  <si>
    <t>Diamants (Debswana — De Beers/État, 50/50; HB Antwerp), cuivre, nickel (BCL mine)</t>
  </si>
  <si>
    <t>Tourisme (safari), services financiers, agriculture</t>
  </si>
  <si>
    <t>Malawi</t>
  </si>
  <si>
    <t>Mines (uranium — Kayelekera/Paladin, charbon)</t>
  </si>
  <si>
    <t>Agriculture (tabac, thé, sucre), services</t>
  </si>
  <si>
    <t>Eswatini</t>
  </si>
  <si>
    <t>Mines (charbon, fer)</t>
  </si>
  <si>
    <t>Industrie textile, agriculture (canne à sucre), services</t>
  </si>
  <si>
    <t>Lesotho</t>
  </si>
  <si>
    <t>Mines (diamants — Letseng Diamond Mine, Letšeng Diamonds)</t>
  </si>
  <si>
    <t>Eau (LHWP vers Afrique du Sud), industrie textile, agriculture</t>
  </si>
  <si>
    <t>TOTAL / MOYENNE AFRIQUE</t>
  </si>
  <si>
    <t>Pétrole &amp; gaz + Mines</t>
  </si>
  <si>
    <t>Construction, ER, Agro, Services, Numérique</t>
  </si>
  <si>
    <t>ÉVOLUTION DE LA PART DU SECTEUR EXTRACTIF DANS LES IDE PAR PAYS (2000–2024)</t>
  </si>
  <si>
    <t>Part extractif
2000-2009 (%)</t>
  </si>
  <si>
    <t>Part extractif
2010-2019 (%)</t>
  </si>
  <si>
    <t>Part extractif
2020-2024 (%)</t>
  </si>
  <si>
    <t>Tendance
globale</t>
  </si>
  <si>
    <t>Profil</t>
  </si>
  <si>
    <t>Note tendance</t>
  </si>
  <si>
    <t>🔽 Forte diversification</t>
  </si>
  <si>
    <t>Pays en diversification avancée</t>
  </si>
  <si>
    <t>Variation : -20pp sur 25 ans</t>
  </si>
  <si>
    <t>➡ Stable</t>
  </si>
  <si>
    <t>Profil stable</t>
  </si>
  <si>
    <t>Variation : -3pp sur 25 ans</t>
  </si>
  <si>
    <t>↘ Légère diversification</t>
  </si>
  <si>
    <t>Diversification en cours</t>
  </si>
  <si>
    <t>Variation : -12pp sur 25 ans</t>
  </si>
  <si>
    <t>Variation : -6pp sur 25 ans</t>
  </si>
  <si>
    <t>Données insuffisantes</t>
  </si>
  <si>
    <t>Variation : +3pp sur 25 ans</t>
  </si>
  <si>
    <t>Variation : -2pp sur 25 ans</t>
  </si>
  <si>
    <t>🔼 Forte extractivisation</t>
  </si>
  <si>
    <t>Dépendance extractive croissante</t>
  </si>
  <si>
    <t>Variation : +30pp sur 25 ans</t>
  </si>
  <si>
    <t>Variation : +23pp sur 25 ans</t>
  </si>
  <si>
    <t>Variation : +0pp sur 25 ans</t>
  </si>
  <si>
    <t>Variation : -1pp sur 25 ans</t>
  </si>
  <si>
    <t>Variation : +2pp sur 25 ans</t>
  </si>
  <si>
    <t>Variation : +4pp sur 25 ans</t>
  </si>
  <si>
    <t>Variation : +33pp sur 25 ans</t>
  </si>
  <si>
    <t>Variation : -17pp sur 25 ans</t>
  </si>
  <si>
    <t>↗ Légère extractivisation</t>
  </si>
  <si>
    <t>Légère montée extractif</t>
  </si>
  <si>
    <t>Variation : +6pp sur 25 ans</t>
  </si>
  <si>
    <t>CLASSEMENT DES PAYS AFRICAINS PAR DÉPENDANCE EXTRACTIVE DANS LES IDE (2000–2024)</t>
  </si>
  <si>
    <t>Rang</t>
  </si>
  <si>
    <t>Part extractif
moy. 25 ans (%)</t>
  </si>
  <si>
    <t>IDE Total
moy/an (M$)</t>
  </si>
  <si>
    <t>IDE Extractif
moy/an (M$)</t>
  </si>
  <si>
    <t>Ressource extractive principale</t>
  </si>
  <si>
    <t>Légende : ■ Rouge clair = Très forte dépendance extractive (≥60%)  ■ Jaune = Dépendance modérée (31-59%)  ■ Bleu clair = Économie diversifiée (≤30%)</t>
  </si>
  <si>
    <t>Part extractive moy.</t>
  </si>
  <si>
    <t>IDE moy. (% PIB)</t>
  </si>
  <si>
    <t>Croissance moy. (%)</t>
  </si>
  <si>
    <t>Ratio C/IDE</t>
  </si>
  <si>
    <t>Profil sectoriel dominant</t>
  </si>
  <si>
    <t>Afrique Centrale</t>
  </si>
  <si>
    <t>Hydrocarbures &amp; mines (pétrole &gt; 70%)</t>
  </si>
  <si>
    <t>Afrique Australe</t>
  </si>
  <si>
    <t>Mines PGM, diamants, charbon (40–60%)</t>
  </si>
  <si>
    <t>Afrique de l’Ouest</t>
  </si>
  <si>
    <t>Or, pétrole, mais aussi agro-industrie, fintech</t>
  </si>
  <si>
    <t>Afrique de l’Est</t>
  </si>
  <si>
    <t>Infrastructure, agrobusiness, numérique (à 73%)</t>
  </si>
  <si>
    <t>Tourisme, industrie, services (à 79%)</t>
  </si>
  <si>
    <t>Part non extractive moyen</t>
  </si>
  <si>
    <t>2000-2009</t>
  </si>
  <si>
    <t>2010-2019</t>
  </si>
  <si>
    <t>2020-2024</t>
  </si>
  <si>
    <t>IDE EN AFRIQUE CUMUL &amp; MOYENNE 2000-2024 : SECTEUR EXTRACTIF vs NON-EXTRACTIF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</si>
</sst>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i/>
      <sz val="9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8CCE4"/>
      </left>
      <right style="medium">
        <color rgb="FFB8CCE4"/>
      </right>
      <top style="medium">
        <color rgb="FFB8CCE4"/>
      </top>
      <bottom style="medium">
        <color rgb="FFB8CCE4"/>
      </bottom>
      <diagonal/>
    </border>
    <border>
      <left/>
      <right style="medium">
        <color rgb="FFB8CCE4"/>
      </right>
      <top style="medium">
        <color rgb="FFB8CCE4"/>
      </top>
      <bottom style="medium">
        <color rgb="FFB8CCE4"/>
      </bottom>
      <diagonal/>
    </border>
    <border>
      <left style="medium">
        <color rgb="FFB8CCE4"/>
      </left>
      <right style="medium">
        <color rgb="FFB8CCE4"/>
      </right>
      <top/>
      <bottom style="medium">
        <color rgb="FFB8CCE4"/>
      </bottom>
      <diagonal/>
    </border>
    <border>
      <left/>
      <right style="medium">
        <color rgb="FFB8CCE4"/>
      </right>
      <top/>
      <bottom style="medium">
        <color rgb="FFB8CC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7" fillId="2" borderId="3" xfId="0" applyFont="1" applyFill="1" applyBorder="1" applyAlignment="1">
      <alignment horizontal="center" vertical="center" wrapText="1"/>
    </xf>
    <xf numFmtId="10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8" fillId="0" borderId="6" xfId="0" applyFont="1" applyBorder="1" applyAlignment="1">
      <alignment horizontal="center" vertical="center" wrapText="1"/>
    </xf>
    <xf numFmtId="164" fontId="0" fillId="0" borderId="6" xfId="1" applyNumberFormat="1" applyFont="1" applyBorder="1"/>
    <xf numFmtId="164" fontId="6" fillId="2" borderId="6" xfId="1" applyNumberFormat="1" applyFont="1" applyFill="1" applyBorder="1" applyAlignment="1">
      <alignment horizontal="center" vertical="center" wrapText="1"/>
    </xf>
    <xf numFmtId="164" fontId="8" fillId="0" borderId="6" xfId="1" applyNumberFormat="1" applyFont="1" applyBorder="1" applyAlignment="1">
      <alignment horizontal="center" vertical="center" wrapText="1"/>
    </xf>
    <xf numFmtId="0" fontId="10" fillId="0" borderId="0" xfId="0" applyFont="1" applyFill="1"/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10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left" vertical="center"/>
    </xf>
    <xf numFmtId="0" fontId="14" fillId="0" borderId="2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10" fontId="15" fillId="0" borderId="5" xfId="0" applyNumberFormat="1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Feuil1!$C$23</c:f>
              <c:strCache>
                <c:ptCount val="1"/>
                <c:pt idx="0">
                  <c:v>Afrique Centrale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220000" spcFirstLastPara="1" vertOverflow="ellipsis" wrap="square" lIns="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Feuil1!$D$22:$F$22</c:f>
              <c:strCache>
                <c:ptCount val="3"/>
                <c:pt idx="0">
                  <c:v>2000-2009</c:v>
                </c:pt>
                <c:pt idx="1">
                  <c:v>2010-2019</c:v>
                </c:pt>
                <c:pt idx="2">
                  <c:v>2020-2024</c:v>
                </c:pt>
              </c:strCache>
            </c:strRef>
          </c:cat>
          <c:val>
            <c:numRef>
              <c:f>Feuil1!$D$23:$F$23</c:f>
              <c:numCache>
                <c:formatCode>0.0%</c:formatCode>
                <c:ptCount val="3"/>
                <c:pt idx="0">
                  <c:v>0.78500000000000003</c:v>
                </c:pt>
                <c:pt idx="1">
                  <c:v>0.79500000000000004</c:v>
                </c:pt>
                <c:pt idx="2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D-414B-B893-0F072231D4DB}"/>
            </c:ext>
          </c:extLst>
        </c:ser>
        <c:ser>
          <c:idx val="1"/>
          <c:order val="1"/>
          <c:tx>
            <c:strRef>
              <c:f>Feuil1!$C$24</c:f>
              <c:strCache>
                <c:ptCount val="1"/>
                <c:pt idx="0">
                  <c:v>Afrique Australe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Feuil1!$D$22:$F$22</c:f>
              <c:strCache>
                <c:ptCount val="3"/>
                <c:pt idx="0">
                  <c:v>2000-2009</c:v>
                </c:pt>
                <c:pt idx="1">
                  <c:v>2010-2019</c:v>
                </c:pt>
                <c:pt idx="2">
                  <c:v>2020-2024</c:v>
                </c:pt>
              </c:strCache>
            </c:strRef>
          </c:cat>
          <c:val>
            <c:numRef>
              <c:f>Feuil1!$D$24:$F$24</c:f>
              <c:numCache>
                <c:formatCode>0.0%</c:formatCode>
                <c:ptCount val="3"/>
                <c:pt idx="0">
                  <c:v>0.47</c:v>
                </c:pt>
                <c:pt idx="1">
                  <c:v>0.48499999999999999</c:v>
                </c:pt>
                <c:pt idx="2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D-414B-B893-0F072231D4DB}"/>
            </c:ext>
          </c:extLst>
        </c:ser>
        <c:ser>
          <c:idx val="2"/>
          <c:order val="2"/>
          <c:tx>
            <c:strRef>
              <c:f>Feuil1!$C$25</c:f>
              <c:strCache>
                <c:ptCount val="1"/>
                <c:pt idx="0">
                  <c:v>Afrique de l’Ouest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34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Feuil1!$D$22:$F$22</c:f>
              <c:strCache>
                <c:ptCount val="3"/>
                <c:pt idx="0">
                  <c:v>2000-2009</c:v>
                </c:pt>
                <c:pt idx="1">
                  <c:v>2010-2019</c:v>
                </c:pt>
                <c:pt idx="2">
                  <c:v>2020-2024</c:v>
                </c:pt>
              </c:strCache>
            </c:strRef>
          </c:cat>
          <c:val>
            <c:numRef>
              <c:f>Feuil1!$D$25:$F$25</c:f>
              <c:numCache>
                <c:formatCode>0.0%</c:formatCode>
                <c:ptCount val="3"/>
                <c:pt idx="0">
                  <c:v>0.46</c:v>
                </c:pt>
                <c:pt idx="1">
                  <c:v>0.47</c:v>
                </c:pt>
                <c:pt idx="2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D-414B-B893-0F072231D4DB}"/>
            </c:ext>
          </c:extLst>
        </c:ser>
        <c:ser>
          <c:idx val="3"/>
          <c:order val="3"/>
          <c:tx>
            <c:strRef>
              <c:f>Feuil1!$C$26</c:f>
              <c:strCache>
                <c:ptCount val="1"/>
                <c:pt idx="0">
                  <c:v>Afrique de l’Est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Feuil1!$D$22:$F$22</c:f>
              <c:strCache>
                <c:ptCount val="3"/>
                <c:pt idx="0">
                  <c:v>2000-2009</c:v>
                </c:pt>
                <c:pt idx="1">
                  <c:v>2010-2019</c:v>
                </c:pt>
                <c:pt idx="2">
                  <c:v>2020-2024</c:v>
                </c:pt>
              </c:strCache>
            </c:strRef>
          </c:cat>
          <c:val>
            <c:numRef>
              <c:f>Feuil1!$D$26:$F$26</c:f>
              <c:numCache>
                <c:formatCode>0.0%</c:formatCode>
                <c:ptCount val="3"/>
                <c:pt idx="0">
                  <c:v>0.245</c:v>
                </c:pt>
                <c:pt idx="1">
                  <c:v>0.3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CD-414B-B893-0F072231D4DB}"/>
            </c:ext>
          </c:extLst>
        </c:ser>
        <c:ser>
          <c:idx val="4"/>
          <c:order val="4"/>
          <c:tx>
            <c:strRef>
              <c:f>Feuil1!$C$27</c:f>
              <c:strCache>
                <c:ptCount val="1"/>
                <c:pt idx="0">
                  <c:v>Afrique du Nord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Feuil1!$D$22:$F$22</c:f>
              <c:strCache>
                <c:ptCount val="3"/>
                <c:pt idx="0">
                  <c:v>2000-2009</c:v>
                </c:pt>
                <c:pt idx="1">
                  <c:v>2010-2019</c:v>
                </c:pt>
                <c:pt idx="2">
                  <c:v>2020-2024</c:v>
                </c:pt>
              </c:strCache>
            </c:strRef>
          </c:cat>
          <c:val>
            <c:numRef>
              <c:f>Feuil1!$D$27:$F$27</c:f>
              <c:numCache>
                <c:formatCode>0.0%</c:formatCode>
                <c:ptCount val="3"/>
                <c:pt idx="0">
                  <c:v>0.375</c:v>
                </c:pt>
                <c:pt idx="1">
                  <c:v>0.35</c:v>
                </c:pt>
                <c:pt idx="2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CD-414B-B893-0F072231D4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6"/>
        <c:overlap val="-27"/>
        <c:axId val="844220528"/>
        <c:axId val="844221184"/>
      </c:barChart>
      <c:catAx>
        <c:axId val="84422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21184"/>
        <c:crosses val="autoZero"/>
        <c:auto val="1"/>
        <c:lblAlgn val="ctr"/>
        <c:lblOffset val="100"/>
        <c:noMultiLvlLbl val="0"/>
      </c:catAx>
      <c:valAx>
        <c:axId val="84422118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84422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17</xdr:row>
      <xdr:rowOff>140970</xdr:rowOff>
    </xdr:from>
    <xdr:to>
      <xdr:col>14</xdr:col>
      <xdr:colOff>22680</xdr:colOff>
      <xdr:row>34</xdr:row>
      <xdr:rowOff>47610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34E600E-FDE5-4C32-BF42-3BA899C8F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workbookViewId="0">
      <pane xSplit="2" ySplit="3" topLeftCell="K4" activePane="bottomRight" state="frozen"/>
      <selection pane="topRight"/>
      <selection pane="bottomLeft"/>
      <selection pane="bottomRight" activeCell="A4" sqref="A4:R4"/>
    </sheetView>
  </sheetViews>
  <sheetFormatPr baseColWidth="10" defaultColWidth="8.88671875" defaultRowHeight="14.4" x14ac:dyDescent="0.3"/>
  <cols>
    <col min="1" max="1" width="20" style="10" customWidth="1"/>
    <col min="2" max="2" width="16" style="10" customWidth="1"/>
    <col min="3" max="3" width="11" style="10" customWidth="1"/>
    <col min="4" max="4" width="13" style="10" customWidth="1"/>
    <col min="5" max="5" width="11" style="10" customWidth="1"/>
    <col min="6" max="6" width="13" style="10" customWidth="1"/>
    <col min="7" max="10" width="9" style="10" customWidth="1"/>
    <col min="11" max="11" width="38" style="10" customWidth="1"/>
    <col min="12" max="12" width="11" style="10" customWidth="1"/>
    <col min="13" max="13" width="13" style="10" customWidth="1"/>
    <col min="14" max="17" width="9" style="10" customWidth="1"/>
    <col min="18" max="18" width="40" style="10" customWidth="1"/>
    <col min="19" max="16384" width="8.88671875" style="10"/>
  </cols>
  <sheetData>
    <row r="1" spans="1:18" ht="25.95" customHeight="1" x14ac:dyDescent="0.3">
      <c r="A1" s="25" t="s">
        <v>234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3.95" customHeight="1" x14ac:dyDescent="0.3">
      <c r="A2" s="26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52.05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</row>
    <row r="4" spans="1:18" ht="18" customHeight="1" x14ac:dyDescent="0.3">
      <c r="A4" s="21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30" customHeight="1" x14ac:dyDescent="0.3">
      <c r="A5" s="12" t="s">
        <v>19</v>
      </c>
      <c r="B5" s="13" t="s">
        <v>20</v>
      </c>
      <c r="C5" s="14">
        <v>10855</v>
      </c>
      <c r="D5" s="14">
        <v>271380</v>
      </c>
      <c r="E5" s="14">
        <v>1628</v>
      </c>
      <c r="F5" s="14">
        <v>40707</v>
      </c>
      <c r="G5" s="15">
        <v>0.25</v>
      </c>
      <c r="H5" s="15">
        <v>0.15</v>
      </c>
      <c r="I5" s="15">
        <v>0.05</v>
      </c>
      <c r="J5" s="15">
        <v>0.15</v>
      </c>
      <c r="K5" s="16" t="s">
        <v>21</v>
      </c>
      <c r="L5" s="14">
        <v>9227</v>
      </c>
      <c r="M5" s="14">
        <v>230673</v>
      </c>
      <c r="N5" s="15">
        <v>0.75</v>
      </c>
      <c r="O5" s="15">
        <v>0.85</v>
      </c>
      <c r="P5" s="15">
        <v>0.95</v>
      </c>
      <c r="Q5" s="15">
        <v>0.85</v>
      </c>
      <c r="R5" s="16" t="s">
        <v>22</v>
      </c>
    </row>
    <row r="6" spans="1:18" ht="30" customHeight="1" x14ac:dyDescent="0.3">
      <c r="A6" s="12" t="s">
        <v>23</v>
      </c>
      <c r="B6" s="13" t="s">
        <v>20</v>
      </c>
      <c r="C6" s="14">
        <v>2112</v>
      </c>
      <c r="D6" s="14">
        <v>52800</v>
      </c>
      <c r="E6" s="14">
        <v>127</v>
      </c>
      <c r="F6" s="14">
        <v>3168</v>
      </c>
      <c r="G6" s="15">
        <v>0.08</v>
      </c>
      <c r="H6" s="15">
        <v>0.06</v>
      </c>
      <c r="I6" s="15">
        <v>0.05</v>
      </c>
      <c r="J6" s="15">
        <v>0.06</v>
      </c>
      <c r="K6" s="16" t="s">
        <v>24</v>
      </c>
      <c r="L6" s="14">
        <v>1985</v>
      </c>
      <c r="M6" s="14">
        <v>49632</v>
      </c>
      <c r="N6" s="15">
        <v>0.92</v>
      </c>
      <c r="O6" s="15">
        <v>0.94</v>
      </c>
      <c r="P6" s="15">
        <v>0.95</v>
      </c>
      <c r="Q6" s="15">
        <v>0.94</v>
      </c>
      <c r="R6" s="16" t="s">
        <v>25</v>
      </c>
    </row>
    <row r="7" spans="1:18" ht="30" customHeight="1" x14ac:dyDescent="0.3">
      <c r="A7" s="12" t="s">
        <v>26</v>
      </c>
      <c r="B7" s="13" t="s">
        <v>20</v>
      </c>
      <c r="C7" s="14">
        <v>1576</v>
      </c>
      <c r="D7" s="14">
        <v>39400</v>
      </c>
      <c r="E7" s="14">
        <v>1056</v>
      </c>
      <c r="F7" s="14">
        <v>26398</v>
      </c>
      <c r="G7" s="15">
        <v>0.72</v>
      </c>
      <c r="H7" s="15">
        <v>0.68</v>
      </c>
      <c r="I7" s="15">
        <v>0.6</v>
      </c>
      <c r="J7" s="15">
        <v>0.67</v>
      </c>
      <c r="K7" s="16" t="s">
        <v>27</v>
      </c>
      <c r="L7" s="14">
        <v>520</v>
      </c>
      <c r="M7" s="14">
        <v>13002</v>
      </c>
      <c r="N7" s="15">
        <v>0.28000000000000003</v>
      </c>
      <c r="O7" s="15">
        <v>0.32</v>
      </c>
      <c r="P7" s="15">
        <v>0.4</v>
      </c>
      <c r="Q7" s="15">
        <v>0.33</v>
      </c>
      <c r="R7" s="16" t="s">
        <v>28</v>
      </c>
    </row>
    <row r="8" spans="1:18" ht="30" customHeight="1" x14ac:dyDescent="0.3">
      <c r="A8" s="12" t="s">
        <v>29</v>
      </c>
      <c r="B8" s="13" t="s">
        <v>20</v>
      </c>
      <c r="C8" s="14">
        <v>943</v>
      </c>
      <c r="D8" s="14">
        <v>23575</v>
      </c>
      <c r="E8" s="14">
        <v>141</v>
      </c>
      <c r="F8" s="14">
        <v>3536</v>
      </c>
      <c r="G8" s="15">
        <v>0.18</v>
      </c>
      <c r="H8" s="15">
        <v>0.14000000000000001</v>
      </c>
      <c r="I8" s="15">
        <v>0.12</v>
      </c>
      <c r="J8" s="15">
        <v>0.15</v>
      </c>
      <c r="K8" s="16" t="s">
        <v>30</v>
      </c>
      <c r="L8" s="14">
        <v>802</v>
      </c>
      <c r="M8" s="14">
        <v>20039</v>
      </c>
      <c r="N8" s="15">
        <v>0.82</v>
      </c>
      <c r="O8" s="15">
        <v>0.86</v>
      </c>
      <c r="P8" s="15">
        <v>0.88</v>
      </c>
      <c r="Q8" s="15">
        <v>0.85</v>
      </c>
      <c r="R8" s="16" t="s">
        <v>31</v>
      </c>
    </row>
    <row r="9" spans="1:18" ht="30" customHeight="1" x14ac:dyDescent="0.3">
      <c r="A9" s="12" t="s">
        <v>32</v>
      </c>
      <c r="B9" s="13" t="s">
        <v>20</v>
      </c>
      <c r="C9" s="17" t="s">
        <v>33</v>
      </c>
      <c r="D9" s="17" t="s">
        <v>33</v>
      </c>
      <c r="E9" s="17" t="s">
        <v>33</v>
      </c>
      <c r="F9" s="17" t="s">
        <v>33</v>
      </c>
      <c r="G9" s="15">
        <v>0.88</v>
      </c>
      <c r="H9" s="15">
        <v>0.88</v>
      </c>
      <c r="I9" s="18" t="s">
        <v>33</v>
      </c>
      <c r="J9" s="15">
        <v>0.88</v>
      </c>
      <c r="K9" s="16" t="s">
        <v>34</v>
      </c>
      <c r="L9" s="17" t="s">
        <v>33</v>
      </c>
      <c r="M9" s="17" t="s">
        <v>33</v>
      </c>
      <c r="N9" s="15">
        <v>0.12</v>
      </c>
      <c r="O9" s="15">
        <v>0.12</v>
      </c>
      <c r="P9" s="18" t="s">
        <v>33</v>
      </c>
      <c r="Q9" s="15">
        <v>0.12</v>
      </c>
      <c r="R9" s="16" t="s">
        <v>35</v>
      </c>
    </row>
    <row r="10" spans="1:18" ht="30" customHeight="1" x14ac:dyDescent="0.3">
      <c r="A10" s="12" t="s">
        <v>36</v>
      </c>
      <c r="B10" s="13" t="s">
        <v>20</v>
      </c>
      <c r="C10" s="17" t="s">
        <v>33</v>
      </c>
      <c r="D10" s="17" t="s">
        <v>33</v>
      </c>
      <c r="E10" s="17" t="s">
        <v>33</v>
      </c>
      <c r="F10" s="17" t="s">
        <v>33</v>
      </c>
      <c r="G10" s="15">
        <v>0.75</v>
      </c>
      <c r="H10" s="15">
        <v>0.7</v>
      </c>
      <c r="I10" s="18" t="s">
        <v>33</v>
      </c>
      <c r="J10" s="15">
        <v>0.72</v>
      </c>
      <c r="K10" s="16" t="s">
        <v>37</v>
      </c>
      <c r="L10" s="17" t="s">
        <v>33</v>
      </c>
      <c r="M10" s="17" t="s">
        <v>33</v>
      </c>
      <c r="N10" s="15">
        <v>0.25</v>
      </c>
      <c r="O10" s="15">
        <v>0.3</v>
      </c>
      <c r="P10" s="18" t="s">
        <v>33</v>
      </c>
      <c r="Q10" s="15">
        <v>0.28000000000000003</v>
      </c>
      <c r="R10" s="16" t="s">
        <v>38</v>
      </c>
    </row>
    <row r="11" spans="1:18" ht="18" customHeight="1" x14ac:dyDescent="0.3">
      <c r="A11" s="21" t="s">
        <v>39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spans="1:18" ht="30" customHeight="1" x14ac:dyDescent="0.3">
      <c r="A12" s="12" t="s">
        <v>40</v>
      </c>
      <c r="B12" s="13" t="s">
        <v>41</v>
      </c>
      <c r="C12" s="14">
        <v>1965</v>
      </c>
      <c r="D12" s="14">
        <v>49125</v>
      </c>
      <c r="E12" s="14">
        <v>295</v>
      </c>
      <c r="F12" s="14">
        <v>7369</v>
      </c>
      <c r="G12" s="15">
        <v>0.15</v>
      </c>
      <c r="H12" s="15">
        <v>0.12</v>
      </c>
      <c r="I12" s="15">
        <v>0.18</v>
      </c>
      <c r="J12" s="15">
        <v>0.15</v>
      </c>
      <c r="K12" s="16" t="s">
        <v>42</v>
      </c>
      <c r="L12" s="14">
        <v>1670</v>
      </c>
      <c r="M12" s="14">
        <v>41756</v>
      </c>
      <c r="N12" s="15">
        <v>0.85</v>
      </c>
      <c r="O12" s="15">
        <v>0.88</v>
      </c>
      <c r="P12" s="15">
        <v>0.82</v>
      </c>
      <c r="Q12" s="15">
        <v>0.85</v>
      </c>
      <c r="R12" s="16" t="s">
        <v>43</v>
      </c>
    </row>
    <row r="13" spans="1:18" ht="30" customHeight="1" x14ac:dyDescent="0.3">
      <c r="A13" s="12" t="s">
        <v>44</v>
      </c>
      <c r="B13" s="13" t="s">
        <v>41</v>
      </c>
      <c r="C13" s="14">
        <v>574</v>
      </c>
      <c r="D13" s="14">
        <v>14350</v>
      </c>
      <c r="E13" s="14">
        <v>40</v>
      </c>
      <c r="F13" s="14">
        <v>1004</v>
      </c>
      <c r="G13" s="15">
        <v>0.08</v>
      </c>
      <c r="H13" s="15">
        <v>7.0000000000000007E-2</v>
      </c>
      <c r="I13" s="15">
        <v>0.06</v>
      </c>
      <c r="J13" s="15">
        <v>7.0000000000000007E-2</v>
      </c>
      <c r="K13" s="16" t="s">
        <v>45</v>
      </c>
      <c r="L13" s="14">
        <v>534</v>
      </c>
      <c r="M13" s="14">
        <v>13346</v>
      </c>
      <c r="N13" s="15">
        <v>0.92</v>
      </c>
      <c r="O13" s="15">
        <v>0.93</v>
      </c>
      <c r="P13" s="15">
        <v>0.94</v>
      </c>
      <c r="Q13" s="15">
        <v>0.93</v>
      </c>
      <c r="R13" s="16" t="s">
        <v>46</v>
      </c>
    </row>
    <row r="14" spans="1:18" ht="30" customHeight="1" x14ac:dyDescent="0.3">
      <c r="A14" s="12" t="s">
        <v>47</v>
      </c>
      <c r="B14" s="13" t="s">
        <v>41</v>
      </c>
      <c r="C14" s="14">
        <v>1093</v>
      </c>
      <c r="D14" s="14">
        <v>27325</v>
      </c>
      <c r="E14" s="14">
        <v>492</v>
      </c>
      <c r="F14" s="14">
        <v>12296</v>
      </c>
      <c r="G14" s="15">
        <v>0.42</v>
      </c>
      <c r="H14" s="15">
        <v>0.48</v>
      </c>
      <c r="I14" s="15">
        <v>0.45</v>
      </c>
      <c r="J14" s="15">
        <v>0.45</v>
      </c>
      <c r="K14" s="16" t="s">
        <v>48</v>
      </c>
      <c r="L14" s="14">
        <v>601</v>
      </c>
      <c r="M14" s="14">
        <v>15029</v>
      </c>
      <c r="N14" s="15">
        <v>0.57999999999999996</v>
      </c>
      <c r="O14" s="15">
        <v>0.52</v>
      </c>
      <c r="P14" s="15">
        <v>0.55000000000000004</v>
      </c>
      <c r="Q14" s="15">
        <v>0.55000000000000004</v>
      </c>
      <c r="R14" s="16" t="s">
        <v>49</v>
      </c>
    </row>
    <row r="15" spans="1:18" ht="30" customHeight="1" x14ac:dyDescent="0.3">
      <c r="A15" s="12" t="s">
        <v>50</v>
      </c>
      <c r="B15" s="13" t="s">
        <v>41</v>
      </c>
      <c r="C15" s="14">
        <v>867</v>
      </c>
      <c r="D15" s="14">
        <v>21675</v>
      </c>
      <c r="E15" s="14">
        <v>338</v>
      </c>
      <c r="F15" s="14">
        <v>8453</v>
      </c>
      <c r="G15" s="15">
        <v>0.25</v>
      </c>
      <c r="H15" s="15">
        <v>0.38</v>
      </c>
      <c r="I15" s="15">
        <v>0.55000000000000004</v>
      </c>
      <c r="J15" s="15">
        <v>0.39</v>
      </c>
      <c r="K15" s="16" t="s">
        <v>51</v>
      </c>
      <c r="L15" s="14">
        <v>529</v>
      </c>
      <c r="M15" s="14">
        <v>13222</v>
      </c>
      <c r="N15" s="15">
        <v>0.75</v>
      </c>
      <c r="O15" s="15">
        <v>0.62</v>
      </c>
      <c r="P15" s="15">
        <v>0.45</v>
      </c>
      <c r="Q15" s="15">
        <v>0.61</v>
      </c>
      <c r="R15" s="16" t="s">
        <v>52</v>
      </c>
    </row>
    <row r="16" spans="1:18" ht="30" customHeight="1" x14ac:dyDescent="0.3">
      <c r="A16" s="12" t="s">
        <v>53</v>
      </c>
      <c r="B16" s="13" t="s">
        <v>41</v>
      </c>
      <c r="C16" s="14">
        <v>2537</v>
      </c>
      <c r="D16" s="14">
        <v>63425</v>
      </c>
      <c r="E16" s="14">
        <v>1497</v>
      </c>
      <c r="F16" s="14">
        <v>37421</v>
      </c>
      <c r="G16" s="15">
        <v>0.45</v>
      </c>
      <c r="H16" s="15">
        <v>0.65</v>
      </c>
      <c r="I16" s="15">
        <v>0.68</v>
      </c>
      <c r="J16" s="15">
        <v>0.59</v>
      </c>
      <c r="K16" s="16" t="s">
        <v>54</v>
      </c>
      <c r="L16" s="14">
        <v>1040</v>
      </c>
      <c r="M16" s="14">
        <v>26004</v>
      </c>
      <c r="N16" s="15">
        <v>0.55000000000000004</v>
      </c>
      <c r="O16" s="15">
        <v>0.35</v>
      </c>
      <c r="P16" s="15">
        <v>0.32</v>
      </c>
      <c r="Q16" s="15">
        <v>0.41</v>
      </c>
      <c r="R16" s="16" t="s">
        <v>55</v>
      </c>
    </row>
    <row r="17" spans="1:18" ht="30" customHeight="1" x14ac:dyDescent="0.3">
      <c r="A17" s="12" t="s">
        <v>56</v>
      </c>
      <c r="B17" s="13" t="s">
        <v>41</v>
      </c>
      <c r="C17" s="14">
        <v>756</v>
      </c>
      <c r="D17" s="14">
        <v>18900</v>
      </c>
      <c r="E17" s="14">
        <v>544</v>
      </c>
      <c r="F17" s="14">
        <v>13608</v>
      </c>
      <c r="G17" s="15">
        <v>0.72</v>
      </c>
      <c r="H17" s="15">
        <v>0.75</v>
      </c>
      <c r="I17" s="15">
        <v>0.7</v>
      </c>
      <c r="J17" s="15">
        <v>0.72</v>
      </c>
      <c r="K17" s="16" t="s">
        <v>57</v>
      </c>
      <c r="L17" s="14">
        <v>212</v>
      </c>
      <c r="M17" s="14">
        <v>5292</v>
      </c>
      <c r="N17" s="15">
        <v>0.28000000000000003</v>
      </c>
      <c r="O17" s="15">
        <v>0.25</v>
      </c>
      <c r="P17" s="15">
        <v>0.3</v>
      </c>
      <c r="Q17" s="15">
        <v>0.28000000000000003</v>
      </c>
      <c r="R17" s="16" t="s">
        <v>58</v>
      </c>
    </row>
    <row r="18" spans="1:18" ht="30" customHeight="1" x14ac:dyDescent="0.3">
      <c r="A18" s="12" t="s">
        <v>59</v>
      </c>
      <c r="B18" s="13" t="s">
        <v>41</v>
      </c>
      <c r="C18" s="14">
        <v>272</v>
      </c>
      <c r="D18" s="14">
        <v>6800</v>
      </c>
      <c r="E18" s="14">
        <v>16</v>
      </c>
      <c r="F18" s="14">
        <v>408</v>
      </c>
      <c r="G18" s="15">
        <v>0.08</v>
      </c>
      <c r="H18" s="15">
        <v>0.06</v>
      </c>
      <c r="I18" s="15">
        <v>0.05</v>
      </c>
      <c r="J18" s="15">
        <v>0.06</v>
      </c>
      <c r="K18" s="16" t="s">
        <v>60</v>
      </c>
      <c r="L18" s="14">
        <v>256</v>
      </c>
      <c r="M18" s="14">
        <v>6392</v>
      </c>
      <c r="N18" s="15">
        <v>0.92</v>
      </c>
      <c r="O18" s="15">
        <v>0.94</v>
      </c>
      <c r="P18" s="15">
        <v>0.95</v>
      </c>
      <c r="Q18" s="15">
        <v>0.94</v>
      </c>
      <c r="R18" s="16" t="s">
        <v>61</v>
      </c>
    </row>
    <row r="19" spans="1:18" ht="30" customHeight="1" x14ac:dyDescent="0.3">
      <c r="A19" s="12" t="s">
        <v>62</v>
      </c>
      <c r="B19" s="13" t="s">
        <v>41</v>
      </c>
      <c r="C19" s="14">
        <v>370</v>
      </c>
      <c r="D19" s="14">
        <v>9250</v>
      </c>
      <c r="E19" s="14">
        <v>192</v>
      </c>
      <c r="F19" s="14">
        <v>4810</v>
      </c>
      <c r="G19" s="15">
        <v>0.52</v>
      </c>
      <c r="H19" s="15">
        <v>0.55000000000000004</v>
      </c>
      <c r="I19" s="15">
        <v>0.5</v>
      </c>
      <c r="J19" s="15">
        <v>0.52</v>
      </c>
      <c r="K19" s="16" t="s">
        <v>63</v>
      </c>
      <c r="L19" s="14">
        <v>178</v>
      </c>
      <c r="M19" s="14">
        <v>4440</v>
      </c>
      <c r="N19" s="15">
        <v>0.48</v>
      </c>
      <c r="O19" s="15">
        <v>0.45</v>
      </c>
      <c r="P19" s="15">
        <v>0.5</v>
      </c>
      <c r="Q19" s="15">
        <v>0.48</v>
      </c>
      <c r="R19" s="16" t="s">
        <v>64</v>
      </c>
    </row>
    <row r="20" spans="1:18" ht="30" customHeight="1" x14ac:dyDescent="0.3">
      <c r="A20" s="12" t="s">
        <v>65</v>
      </c>
      <c r="B20" s="13" t="s">
        <v>41</v>
      </c>
      <c r="C20" s="14">
        <v>380</v>
      </c>
      <c r="D20" s="14">
        <v>9500</v>
      </c>
      <c r="E20" s="14">
        <v>8</v>
      </c>
      <c r="F20" s="14">
        <v>190</v>
      </c>
      <c r="G20" s="15">
        <v>0.02</v>
      </c>
      <c r="H20" s="15">
        <v>0.02</v>
      </c>
      <c r="I20" s="15">
        <v>0.02</v>
      </c>
      <c r="J20" s="15">
        <v>0.02</v>
      </c>
      <c r="K20" s="16" t="s">
        <v>66</v>
      </c>
      <c r="L20" s="14">
        <v>372</v>
      </c>
      <c r="M20" s="14">
        <v>9310</v>
      </c>
      <c r="N20" s="15">
        <v>0.98</v>
      </c>
      <c r="O20" s="15">
        <v>0.98</v>
      </c>
      <c r="P20" s="15">
        <v>0.98</v>
      </c>
      <c r="Q20" s="15">
        <v>0.98</v>
      </c>
      <c r="R20" s="16" t="s">
        <v>67</v>
      </c>
    </row>
    <row r="21" spans="1:18" ht="30" customHeight="1" x14ac:dyDescent="0.3">
      <c r="A21" s="12" t="s">
        <v>68</v>
      </c>
      <c r="B21" s="13" t="s">
        <v>41</v>
      </c>
      <c r="C21" s="14">
        <v>190</v>
      </c>
      <c r="D21" s="14">
        <v>4750</v>
      </c>
      <c r="E21" s="14">
        <v>10</v>
      </c>
      <c r="F21" s="14">
        <v>238</v>
      </c>
      <c r="G21" s="15">
        <v>0.05</v>
      </c>
      <c r="H21" s="15">
        <v>0.05</v>
      </c>
      <c r="I21" s="15">
        <v>0.04</v>
      </c>
      <c r="J21" s="15">
        <v>0.05</v>
      </c>
      <c r="K21" s="16" t="s">
        <v>69</v>
      </c>
      <c r="L21" s="14">
        <v>180</v>
      </c>
      <c r="M21" s="14">
        <v>4512</v>
      </c>
      <c r="N21" s="15">
        <v>0.95</v>
      </c>
      <c r="O21" s="15">
        <v>0.95</v>
      </c>
      <c r="P21" s="15">
        <v>0.96</v>
      </c>
      <c r="Q21" s="15">
        <v>0.95</v>
      </c>
      <c r="R21" s="16" t="s">
        <v>70</v>
      </c>
    </row>
    <row r="22" spans="1:18" ht="30" customHeight="1" x14ac:dyDescent="0.3">
      <c r="A22" s="12" t="s">
        <v>71</v>
      </c>
      <c r="B22" s="13" t="s">
        <v>41</v>
      </c>
      <c r="C22" s="14">
        <v>9</v>
      </c>
      <c r="D22" s="14">
        <v>225</v>
      </c>
      <c r="E22" s="14">
        <v>3</v>
      </c>
      <c r="F22" s="14">
        <v>86</v>
      </c>
      <c r="G22" s="15">
        <v>0.35</v>
      </c>
      <c r="H22" s="15">
        <v>0.42</v>
      </c>
      <c r="I22" s="15">
        <v>0.38</v>
      </c>
      <c r="J22" s="15">
        <v>0.38</v>
      </c>
      <c r="K22" s="16" t="s">
        <v>72</v>
      </c>
      <c r="L22" s="14">
        <v>6</v>
      </c>
      <c r="M22" s="14">
        <v>140</v>
      </c>
      <c r="N22" s="15">
        <v>0.65</v>
      </c>
      <c r="O22" s="15">
        <v>0.57999999999999996</v>
      </c>
      <c r="P22" s="15">
        <v>0.62</v>
      </c>
      <c r="Q22" s="15">
        <v>0.62</v>
      </c>
      <c r="R22" s="16" t="s">
        <v>73</v>
      </c>
    </row>
    <row r="23" spans="1:18" ht="30" customHeight="1" x14ac:dyDescent="0.3">
      <c r="A23" s="12" t="s">
        <v>74</v>
      </c>
      <c r="B23" s="13" t="s">
        <v>41</v>
      </c>
      <c r="C23" s="14">
        <v>176</v>
      </c>
      <c r="D23" s="14">
        <v>4400</v>
      </c>
      <c r="E23" s="14">
        <v>7</v>
      </c>
      <c r="F23" s="14">
        <v>176</v>
      </c>
      <c r="G23" s="15">
        <v>0.05</v>
      </c>
      <c r="H23" s="15">
        <v>0.04</v>
      </c>
      <c r="I23" s="15">
        <v>0.04</v>
      </c>
      <c r="J23" s="15">
        <v>0.04</v>
      </c>
      <c r="K23" s="16" t="s">
        <v>75</v>
      </c>
      <c r="L23" s="14">
        <v>169</v>
      </c>
      <c r="M23" s="14">
        <v>4224</v>
      </c>
      <c r="N23" s="15">
        <v>0.95</v>
      </c>
      <c r="O23" s="15">
        <v>0.96</v>
      </c>
      <c r="P23" s="15">
        <v>0.96</v>
      </c>
      <c r="Q23" s="15">
        <v>0.96</v>
      </c>
      <c r="R23" s="16" t="s">
        <v>76</v>
      </c>
    </row>
    <row r="24" spans="1:18" ht="18" customHeight="1" x14ac:dyDescent="0.3">
      <c r="A24" s="21" t="s">
        <v>77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30" customHeight="1" x14ac:dyDescent="0.3">
      <c r="A25" s="12" t="s">
        <v>78</v>
      </c>
      <c r="B25" s="13" t="s">
        <v>79</v>
      </c>
      <c r="C25" s="14">
        <v>1822</v>
      </c>
      <c r="D25" s="14">
        <v>45550</v>
      </c>
      <c r="E25" s="14">
        <v>1439</v>
      </c>
      <c r="F25" s="14">
        <v>35984</v>
      </c>
      <c r="G25" s="15">
        <v>0.78</v>
      </c>
      <c r="H25" s="15">
        <v>0.8</v>
      </c>
      <c r="I25" s="15">
        <v>0.8</v>
      </c>
      <c r="J25" s="15">
        <v>0.79</v>
      </c>
      <c r="K25" s="16" t="s">
        <v>80</v>
      </c>
      <c r="L25" s="14">
        <v>383</v>
      </c>
      <c r="M25" s="14">
        <v>9566</v>
      </c>
      <c r="N25" s="15">
        <v>0.22</v>
      </c>
      <c r="O25" s="15">
        <v>0.2</v>
      </c>
      <c r="P25" s="15">
        <v>0.2</v>
      </c>
      <c r="Q25" s="15">
        <v>0.21</v>
      </c>
      <c r="R25" s="16" t="s">
        <v>81</v>
      </c>
    </row>
    <row r="26" spans="1:18" ht="30" customHeight="1" x14ac:dyDescent="0.3">
      <c r="A26" s="12" t="s">
        <v>82</v>
      </c>
      <c r="B26" s="13" t="s">
        <v>79</v>
      </c>
      <c r="C26" s="14">
        <v>603</v>
      </c>
      <c r="D26" s="14">
        <v>15075</v>
      </c>
      <c r="E26" s="14">
        <v>253</v>
      </c>
      <c r="F26" s="14">
        <v>6332</v>
      </c>
      <c r="G26" s="15">
        <v>0.42</v>
      </c>
      <c r="H26" s="15">
        <v>0.44</v>
      </c>
      <c r="I26" s="15">
        <v>0.4</v>
      </c>
      <c r="J26" s="15">
        <v>0.42</v>
      </c>
      <c r="K26" s="16" t="s">
        <v>83</v>
      </c>
      <c r="L26" s="14">
        <v>350</v>
      </c>
      <c r="M26" s="14">
        <v>8744</v>
      </c>
      <c r="N26" s="15">
        <v>0.57999999999999996</v>
      </c>
      <c r="O26" s="15">
        <v>0.56000000000000005</v>
      </c>
      <c r="P26" s="15">
        <v>0.6</v>
      </c>
      <c r="Q26" s="15">
        <v>0.57999999999999996</v>
      </c>
      <c r="R26" s="16" t="s">
        <v>84</v>
      </c>
    </row>
    <row r="27" spans="1:18" ht="30" customHeight="1" x14ac:dyDescent="0.3">
      <c r="A27" s="12" t="s">
        <v>85</v>
      </c>
      <c r="B27" s="13" t="s">
        <v>79</v>
      </c>
      <c r="C27" s="14">
        <v>617</v>
      </c>
      <c r="D27" s="14">
        <v>15425</v>
      </c>
      <c r="E27" s="14">
        <v>420</v>
      </c>
      <c r="F27" s="14">
        <v>10489</v>
      </c>
      <c r="G27" s="15">
        <v>0.68</v>
      </c>
      <c r="H27" s="15">
        <v>0.7</v>
      </c>
      <c r="I27" s="15">
        <v>0.65</v>
      </c>
      <c r="J27" s="15">
        <v>0.68</v>
      </c>
      <c r="K27" s="16" t="s">
        <v>86</v>
      </c>
      <c r="L27" s="14">
        <v>197</v>
      </c>
      <c r="M27" s="14">
        <v>4936</v>
      </c>
      <c r="N27" s="15">
        <v>0.32</v>
      </c>
      <c r="O27" s="15">
        <v>0.3</v>
      </c>
      <c r="P27" s="15">
        <v>0.35</v>
      </c>
      <c r="Q27" s="15">
        <v>0.32</v>
      </c>
      <c r="R27" s="16" t="s">
        <v>87</v>
      </c>
    </row>
    <row r="28" spans="1:18" ht="30" customHeight="1" x14ac:dyDescent="0.3">
      <c r="A28" s="12" t="s">
        <v>88</v>
      </c>
      <c r="B28" s="13" t="s">
        <v>79</v>
      </c>
      <c r="C28" s="14">
        <v>561</v>
      </c>
      <c r="D28" s="14">
        <v>14025</v>
      </c>
      <c r="E28" s="14">
        <v>443</v>
      </c>
      <c r="F28" s="14">
        <v>11080</v>
      </c>
      <c r="G28" s="15">
        <v>0.8</v>
      </c>
      <c r="H28" s="15">
        <v>0.8</v>
      </c>
      <c r="I28" s="15">
        <v>0.78</v>
      </c>
      <c r="J28" s="15">
        <v>0.79</v>
      </c>
      <c r="K28" s="16" t="s">
        <v>89</v>
      </c>
      <c r="L28" s="14">
        <v>118</v>
      </c>
      <c r="M28" s="14">
        <v>2945</v>
      </c>
      <c r="N28" s="15">
        <v>0.2</v>
      </c>
      <c r="O28" s="15">
        <v>0.2</v>
      </c>
      <c r="P28" s="15">
        <v>0.22</v>
      </c>
      <c r="Q28" s="15">
        <v>0.21</v>
      </c>
      <c r="R28" s="16" t="s">
        <v>81</v>
      </c>
    </row>
    <row r="29" spans="1:18" ht="30" customHeight="1" x14ac:dyDescent="0.3">
      <c r="A29" s="12" t="s">
        <v>90</v>
      </c>
      <c r="B29" s="13" t="s">
        <v>79</v>
      </c>
      <c r="C29" s="14">
        <v>1202</v>
      </c>
      <c r="D29" s="14">
        <v>30050</v>
      </c>
      <c r="E29" s="14">
        <v>974</v>
      </c>
      <c r="F29" s="14">
        <v>24340</v>
      </c>
      <c r="G29" s="15">
        <v>0.8</v>
      </c>
      <c r="H29" s="15">
        <v>0.82</v>
      </c>
      <c r="I29" s="15">
        <v>0.8</v>
      </c>
      <c r="J29" s="15">
        <v>0.81</v>
      </c>
      <c r="K29" s="16" t="s">
        <v>91</v>
      </c>
      <c r="L29" s="14">
        <v>228</v>
      </c>
      <c r="M29" s="14">
        <v>5710</v>
      </c>
      <c r="N29" s="15">
        <v>0.2</v>
      </c>
      <c r="O29" s="15">
        <v>0.18</v>
      </c>
      <c r="P29" s="15">
        <v>0.2</v>
      </c>
      <c r="Q29" s="15">
        <v>0.19</v>
      </c>
      <c r="R29" s="16" t="s">
        <v>92</v>
      </c>
    </row>
    <row r="30" spans="1:18" ht="30" customHeight="1" x14ac:dyDescent="0.3">
      <c r="A30" s="12" t="s">
        <v>93</v>
      </c>
      <c r="B30" s="13" t="s">
        <v>79</v>
      </c>
      <c r="C30" s="14">
        <v>750</v>
      </c>
      <c r="D30" s="14">
        <v>18750</v>
      </c>
      <c r="E30" s="14">
        <v>675</v>
      </c>
      <c r="F30" s="14">
        <v>16875</v>
      </c>
      <c r="G30" s="15">
        <v>0.9</v>
      </c>
      <c r="H30" s="15">
        <v>0.92</v>
      </c>
      <c r="I30" s="15">
        <v>0.88</v>
      </c>
      <c r="J30" s="15">
        <v>0.9</v>
      </c>
      <c r="K30" s="16" t="s">
        <v>94</v>
      </c>
      <c r="L30" s="14">
        <v>75</v>
      </c>
      <c r="M30" s="14">
        <v>1875</v>
      </c>
      <c r="N30" s="15">
        <v>0.1</v>
      </c>
      <c r="O30" s="15">
        <v>0.08</v>
      </c>
      <c r="P30" s="15">
        <v>0.12</v>
      </c>
      <c r="Q30" s="15">
        <v>0.1</v>
      </c>
      <c r="R30" s="16" t="s">
        <v>95</v>
      </c>
    </row>
    <row r="31" spans="1:18" ht="30" customHeight="1" x14ac:dyDescent="0.3">
      <c r="A31" s="12" t="s">
        <v>96</v>
      </c>
      <c r="B31" s="13" t="s">
        <v>79</v>
      </c>
      <c r="C31" s="17" t="s">
        <v>33</v>
      </c>
      <c r="D31" s="17" t="s">
        <v>33</v>
      </c>
      <c r="E31" s="17" t="s">
        <v>33</v>
      </c>
      <c r="F31" s="17" t="s">
        <v>33</v>
      </c>
      <c r="G31" s="15">
        <v>0.68</v>
      </c>
      <c r="H31" s="15">
        <v>0.7</v>
      </c>
      <c r="I31" s="18" t="s">
        <v>33</v>
      </c>
      <c r="J31" s="15">
        <v>0.69</v>
      </c>
      <c r="K31" s="16" t="s">
        <v>97</v>
      </c>
      <c r="L31" s="17" t="s">
        <v>33</v>
      </c>
      <c r="M31" s="17" t="s">
        <v>33</v>
      </c>
      <c r="N31" s="15">
        <v>0.32</v>
      </c>
      <c r="O31" s="15">
        <v>0.3</v>
      </c>
      <c r="P31" s="18" t="s">
        <v>33</v>
      </c>
      <c r="Q31" s="15">
        <v>0.31</v>
      </c>
      <c r="R31" s="16" t="s">
        <v>98</v>
      </c>
    </row>
    <row r="32" spans="1:18" ht="18" customHeight="1" x14ac:dyDescent="0.3">
      <c r="A32" s="21" t="s">
        <v>99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</row>
    <row r="33" spans="1:18" ht="30" customHeight="1" x14ac:dyDescent="0.3">
      <c r="A33" s="12" t="s">
        <v>100</v>
      </c>
      <c r="B33" s="13" t="s">
        <v>101</v>
      </c>
      <c r="C33" s="14">
        <v>3835</v>
      </c>
      <c r="D33" s="14">
        <v>95875</v>
      </c>
      <c r="E33" s="14">
        <v>2569</v>
      </c>
      <c r="F33" s="14">
        <v>64236</v>
      </c>
      <c r="G33" s="15">
        <v>0.72</v>
      </c>
      <c r="H33" s="15">
        <v>0.68</v>
      </c>
      <c r="I33" s="15">
        <v>0.6</v>
      </c>
      <c r="J33" s="15">
        <v>0.67</v>
      </c>
      <c r="K33" s="16" t="s">
        <v>102</v>
      </c>
      <c r="L33" s="14">
        <v>1266</v>
      </c>
      <c r="M33" s="14">
        <v>31639</v>
      </c>
      <c r="N33" s="15">
        <v>0.28000000000000003</v>
      </c>
      <c r="O33" s="15">
        <v>0.32</v>
      </c>
      <c r="P33" s="15">
        <v>0.4</v>
      </c>
      <c r="Q33" s="15">
        <v>0.33</v>
      </c>
      <c r="R33" s="16" t="s">
        <v>103</v>
      </c>
    </row>
    <row r="34" spans="1:18" ht="30" customHeight="1" x14ac:dyDescent="0.3">
      <c r="A34" s="12" t="s">
        <v>104</v>
      </c>
      <c r="B34" s="13" t="s">
        <v>101</v>
      </c>
      <c r="C34" s="14">
        <v>2140</v>
      </c>
      <c r="D34" s="14">
        <v>53500</v>
      </c>
      <c r="E34" s="14">
        <v>1177</v>
      </c>
      <c r="F34" s="14">
        <v>29425</v>
      </c>
      <c r="G34" s="15">
        <v>0.55000000000000004</v>
      </c>
      <c r="H34" s="15">
        <v>0.57999999999999996</v>
      </c>
      <c r="I34" s="15">
        <v>0.52</v>
      </c>
      <c r="J34" s="15">
        <v>0.55000000000000004</v>
      </c>
      <c r="K34" s="16" t="s">
        <v>105</v>
      </c>
      <c r="L34" s="14">
        <v>963</v>
      </c>
      <c r="M34" s="14">
        <v>24075</v>
      </c>
      <c r="N34" s="15">
        <v>0.45</v>
      </c>
      <c r="O34" s="15">
        <v>0.42</v>
      </c>
      <c r="P34" s="15">
        <v>0.48</v>
      </c>
      <c r="Q34" s="15">
        <v>0.45</v>
      </c>
      <c r="R34" s="16" t="s">
        <v>106</v>
      </c>
    </row>
    <row r="35" spans="1:18" ht="30" customHeight="1" x14ac:dyDescent="0.3">
      <c r="A35" s="12" t="s">
        <v>107</v>
      </c>
      <c r="B35" s="13" t="s">
        <v>101</v>
      </c>
      <c r="C35" s="14">
        <v>931</v>
      </c>
      <c r="D35" s="14">
        <v>23275</v>
      </c>
      <c r="E35" s="14">
        <v>186</v>
      </c>
      <c r="F35" s="14">
        <v>4655</v>
      </c>
      <c r="G35" s="15">
        <v>0.18</v>
      </c>
      <c r="H35" s="15">
        <v>0.2</v>
      </c>
      <c r="I35" s="15">
        <v>0.22</v>
      </c>
      <c r="J35" s="15">
        <v>0.2</v>
      </c>
      <c r="K35" s="16" t="s">
        <v>108</v>
      </c>
      <c r="L35" s="14">
        <v>745</v>
      </c>
      <c r="M35" s="14">
        <v>18620</v>
      </c>
      <c r="N35" s="15">
        <v>0.82</v>
      </c>
      <c r="O35" s="15">
        <v>0.8</v>
      </c>
      <c r="P35" s="15">
        <v>0.78</v>
      </c>
      <c r="Q35" s="15">
        <v>0.8</v>
      </c>
      <c r="R35" s="16" t="s">
        <v>109</v>
      </c>
    </row>
    <row r="36" spans="1:18" ht="30" customHeight="1" x14ac:dyDescent="0.3">
      <c r="A36" s="12" t="s">
        <v>110</v>
      </c>
      <c r="B36" s="13" t="s">
        <v>101</v>
      </c>
      <c r="C36" s="14">
        <v>896</v>
      </c>
      <c r="D36" s="14">
        <v>22400</v>
      </c>
      <c r="E36" s="14">
        <v>314</v>
      </c>
      <c r="F36" s="14">
        <v>7840</v>
      </c>
      <c r="G36" s="15">
        <v>0.22</v>
      </c>
      <c r="H36" s="15">
        <v>0.28000000000000003</v>
      </c>
      <c r="I36" s="15">
        <v>0.55000000000000004</v>
      </c>
      <c r="J36" s="15">
        <v>0.35</v>
      </c>
      <c r="K36" s="16" t="s">
        <v>111</v>
      </c>
      <c r="L36" s="14">
        <v>582</v>
      </c>
      <c r="M36" s="14">
        <v>14560</v>
      </c>
      <c r="N36" s="15">
        <v>0.78</v>
      </c>
      <c r="O36" s="15">
        <v>0.72</v>
      </c>
      <c r="P36" s="15">
        <v>0.45</v>
      </c>
      <c r="Q36" s="15">
        <v>0.65</v>
      </c>
      <c r="R36" s="16" t="s">
        <v>112</v>
      </c>
    </row>
    <row r="37" spans="1:18" ht="30" customHeight="1" x14ac:dyDescent="0.3">
      <c r="A37" s="12" t="s">
        <v>113</v>
      </c>
      <c r="B37" s="13" t="s">
        <v>101</v>
      </c>
      <c r="C37" s="14">
        <v>500</v>
      </c>
      <c r="D37" s="14">
        <v>12500</v>
      </c>
      <c r="E37" s="14">
        <v>420</v>
      </c>
      <c r="F37" s="14">
        <v>10500</v>
      </c>
      <c r="G37" s="15">
        <v>0.82</v>
      </c>
      <c r="H37" s="15">
        <v>0.85</v>
      </c>
      <c r="I37" s="15">
        <v>0.84</v>
      </c>
      <c r="J37" s="15">
        <v>0.84</v>
      </c>
      <c r="K37" s="16" t="s">
        <v>114</v>
      </c>
      <c r="L37" s="14">
        <v>80</v>
      </c>
      <c r="M37" s="14">
        <v>2000</v>
      </c>
      <c r="N37" s="15">
        <v>0.18</v>
      </c>
      <c r="O37" s="15">
        <v>0.15</v>
      </c>
      <c r="P37" s="15">
        <v>0.16</v>
      </c>
      <c r="Q37" s="15">
        <v>0.16</v>
      </c>
      <c r="R37" s="16" t="s">
        <v>115</v>
      </c>
    </row>
    <row r="38" spans="1:18" ht="30" customHeight="1" x14ac:dyDescent="0.3">
      <c r="A38" s="12" t="s">
        <v>116</v>
      </c>
      <c r="B38" s="13" t="s">
        <v>101</v>
      </c>
      <c r="C38" s="14">
        <v>637</v>
      </c>
      <c r="D38" s="14">
        <v>15925</v>
      </c>
      <c r="E38" s="14">
        <v>287</v>
      </c>
      <c r="F38" s="14">
        <v>7166</v>
      </c>
      <c r="G38" s="15">
        <v>0.55000000000000004</v>
      </c>
      <c r="H38" s="15">
        <v>0.42</v>
      </c>
      <c r="I38" s="15">
        <v>0.38</v>
      </c>
      <c r="J38" s="15">
        <v>0.45</v>
      </c>
      <c r="K38" s="16" t="s">
        <v>117</v>
      </c>
      <c r="L38" s="14">
        <v>350</v>
      </c>
      <c r="M38" s="14">
        <v>8759</v>
      </c>
      <c r="N38" s="15">
        <v>0.45</v>
      </c>
      <c r="O38" s="15">
        <v>0.57999999999999996</v>
      </c>
      <c r="P38" s="15">
        <v>0.62</v>
      </c>
      <c r="Q38" s="15">
        <v>0.55000000000000004</v>
      </c>
      <c r="R38" s="16" t="s">
        <v>118</v>
      </c>
    </row>
    <row r="39" spans="1:18" ht="30" customHeight="1" x14ac:dyDescent="0.3">
      <c r="A39" s="12" t="s">
        <v>119</v>
      </c>
      <c r="B39" s="13" t="s">
        <v>101</v>
      </c>
      <c r="C39" s="14">
        <v>360</v>
      </c>
      <c r="D39" s="14">
        <v>9000</v>
      </c>
      <c r="E39" s="14">
        <v>284</v>
      </c>
      <c r="F39" s="14">
        <v>7110</v>
      </c>
      <c r="G39" s="15">
        <v>0.78</v>
      </c>
      <c r="H39" s="15">
        <v>0.8</v>
      </c>
      <c r="I39" s="15">
        <v>0.78</v>
      </c>
      <c r="J39" s="15">
        <v>0.79</v>
      </c>
      <c r="K39" s="16" t="s">
        <v>120</v>
      </c>
      <c r="L39" s="14">
        <v>76</v>
      </c>
      <c r="M39" s="14">
        <v>1890</v>
      </c>
      <c r="N39" s="15">
        <v>0.22</v>
      </c>
      <c r="O39" s="15">
        <v>0.2</v>
      </c>
      <c r="P39" s="15">
        <v>0.22</v>
      </c>
      <c r="Q39" s="15">
        <v>0.21</v>
      </c>
      <c r="R39" s="16" t="s">
        <v>121</v>
      </c>
    </row>
    <row r="40" spans="1:18" ht="30" customHeight="1" x14ac:dyDescent="0.3">
      <c r="A40" s="12" t="s">
        <v>122</v>
      </c>
      <c r="B40" s="13" t="s">
        <v>101</v>
      </c>
      <c r="C40" s="14">
        <v>195</v>
      </c>
      <c r="D40" s="14">
        <v>4875</v>
      </c>
      <c r="E40" s="14">
        <v>129</v>
      </c>
      <c r="F40" s="14">
        <v>3218</v>
      </c>
      <c r="G40" s="15">
        <v>0.62</v>
      </c>
      <c r="H40" s="15">
        <v>0.68</v>
      </c>
      <c r="I40" s="15">
        <v>0.68</v>
      </c>
      <c r="J40" s="15">
        <v>0.66</v>
      </c>
      <c r="K40" s="16" t="s">
        <v>123</v>
      </c>
      <c r="L40" s="14">
        <v>66</v>
      </c>
      <c r="M40" s="14">
        <v>1658</v>
      </c>
      <c r="N40" s="15">
        <v>0.38</v>
      </c>
      <c r="O40" s="15">
        <v>0.32</v>
      </c>
      <c r="P40" s="15">
        <v>0.32</v>
      </c>
      <c r="Q40" s="15">
        <v>0.34</v>
      </c>
      <c r="R40" s="16" t="s">
        <v>124</v>
      </c>
    </row>
    <row r="41" spans="1:18" ht="30" customHeight="1" x14ac:dyDescent="0.3">
      <c r="A41" s="12" t="s">
        <v>125</v>
      </c>
      <c r="B41" s="13" t="s">
        <v>101</v>
      </c>
      <c r="C41" s="14">
        <v>317</v>
      </c>
      <c r="D41" s="14">
        <v>7925</v>
      </c>
      <c r="E41" s="14">
        <v>231</v>
      </c>
      <c r="F41" s="14">
        <v>5785</v>
      </c>
      <c r="G41" s="15">
        <v>0.72</v>
      </c>
      <c r="H41" s="15">
        <v>0.74</v>
      </c>
      <c r="I41" s="15">
        <v>0.72</v>
      </c>
      <c r="J41" s="15">
        <v>0.73</v>
      </c>
      <c r="K41" s="16" t="s">
        <v>126</v>
      </c>
      <c r="L41" s="14">
        <v>86</v>
      </c>
      <c r="M41" s="14">
        <v>2140</v>
      </c>
      <c r="N41" s="15">
        <v>0.28000000000000003</v>
      </c>
      <c r="O41" s="15">
        <v>0.26</v>
      </c>
      <c r="P41" s="15">
        <v>0.28000000000000003</v>
      </c>
      <c r="Q41" s="15">
        <v>0.27</v>
      </c>
      <c r="R41" s="16" t="s">
        <v>38</v>
      </c>
    </row>
    <row r="42" spans="1:18" ht="30" customHeight="1" x14ac:dyDescent="0.3">
      <c r="A42" s="12" t="s">
        <v>127</v>
      </c>
      <c r="B42" s="13" t="s">
        <v>101</v>
      </c>
      <c r="C42" s="14">
        <v>231</v>
      </c>
      <c r="D42" s="14">
        <v>5775</v>
      </c>
      <c r="E42" s="14">
        <v>30</v>
      </c>
      <c r="F42" s="14">
        <v>751</v>
      </c>
      <c r="G42" s="15">
        <v>0.12</v>
      </c>
      <c r="H42" s="15">
        <v>0.14000000000000001</v>
      </c>
      <c r="I42" s="15">
        <v>0.14000000000000001</v>
      </c>
      <c r="J42" s="15">
        <v>0.13</v>
      </c>
      <c r="K42" s="16" t="s">
        <v>128</v>
      </c>
      <c r="L42" s="14">
        <v>201</v>
      </c>
      <c r="M42" s="14">
        <v>5024</v>
      </c>
      <c r="N42" s="15">
        <v>0.88</v>
      </c>
      <c r="O42" s="15">
        <v>0.86</v>
      </c>
      <c r="P42" s="15">
        <v>0.86</v>
      </c>
      <c r="Q42" s="15">
        <v>0.87</v>
      </c>
      <c r="R42" s="16" t="s">
        <v>129</v>
      </c>
    </row>
    <row r="43" spans="1:18" ht="30" customHeight="1" x14ac:dyDescent="0.3">
      <c r="A43" s="12" t="s">
        <v>130</v>
      </c>
      <c r="B43" s="13" t="s">
        <v>101</v>
      </c>
      <c r="C43" s="14">
        <v>204</v>
      </c>
      <c r="D43" s="14">
        <v>5100</v>
      </c>
      <c r="E43" s="14">
        <v>49</v>
      </c>
      <c r="F43" s="14">
        <v>1224</v>
      </c>
      <c r="G43" s="15">
        <v>0.22</v>
      </c>
      <c r="H43" s="15">
        <v>0.25</v>
      </c>
      <c r="I43" s="15">
        <v>0.24</v>
      </c>
      <c r="J43" s="15">
        <v>0.24</v>
      </c>
      <c r="K43" s="16" t="s">
        <v>131</v>
      </c>
      <c r="L43" s="14">
        <v>155</v>
      </c>
      <c r="M43" s="14">
        <v>3876</v>
      </c>
      <c r="N43" s="15">
        <v>0.78</v>
      </c>
      <c r="O43" s="15">
        <v>0.75</v>
      </c>
      <c r="P43" s="15">
        <v>0.76</v>
      </c>
      <c r="Q43" s="15">
        <v>0.76</v>
      </c>
      <c r="R43" s="16" t="s">
        <v>132</v>
      </c>
    </row>
    <row r="44" spans="1:18" ht="30" customHeight="1" x14ac:dyDescent="0.3">
      <c r="A44" s="12" t="s">
        <v>133</v>
      </c>
      <c r="B44" s="13" t="s">
        <v>101</v>
      </c>
      <c r="C44" s="14">
        <v>318</v>
      </c>
      <c r="D44" s="14">
        <v>7950</v>
      </c>
      <c r="E44" s="14">
        <v>200</v>
      </c>
      <c r="F44" s="14">
        <v>5008</v>
      </c>
      <c r="G44" s="15">
        <v>0.62</v>
      </c>
      <c r="H44" s="15">
        <v>0.65</v>
      </c>
      <c r="I44" s="15">
        <v>0.62</v>
      </c>
      <c r="J44" s="15">
        <v>0.63</v>
      </c>
      <c r="K44" s="16" t="s">
        <v>134</v>
      </c>
      <c r="L44" s="14">
        <v>118</v>
      </c>
      <c r="M44" s="14">
        <v>2942</v>
      </c>
      <c r="N44" s="15">
        <v>0.38</v>
      </c>
      <c r="O44" s="15">
        <v>0.35</v>
      </c>
      <c r="P44" s="15">
        <v>0.38</v>
      </c>
      <c r="Q44" s="15">
        <v>0.37</v>
      </c>
      <c r="R44" s="16" t="s">
        <v>38</v>
      </c>
    </row>
    <row r="45" spans="1:18" ht="30" customHeight="1" x14ac:dyDescent="0.3">
      <c r="A45" s="12" t="s">
        <v>135</v>
      </c>
      <c r="B45" s="13" t="s">
        <v>101</v>
      </c>
      <c r="C45" s="14">
        <v>371</v>
      </c>
      <c r="D45" s="14">
        <v>9275</v>
      </c>
      <c r="E45" s="14">
        <v>197</v>
      </c>
      <c r="F45" s="14">
        <v>4916</v>
      </c>
      <c r="G45" s="15">
        <v>0.52</v>
      </c>
      <c r="H45" s="15">
        <v>0.55000000000000004</v>
      </c>
      <c r="I45" s="15">
        <v>0.52</v>
      </c>
      <c r="J45" s="15">
        <v>0.53</v>
      </c>
      <c r="K45" s="16" t="s">
        <v>136</v>
      </c>
      <c r="L45" s="14">
        <v>174</v>
      </c>
      <c r="M45" s="14">
        <v>4359</v>
      </c>
      <c r="N45" s="15">
        <v>0.48</v>
      </c>
      <c r="O45" s="15">
        <v>0.45</v>
      </c>
      <c r="P45" s="15">
        <v>0.48</v>
      </c>
      <c r="Q45" s="15">
        <v>0.47</v>
      </c>
      <c r="R45" s="16" t="s">
        <v>137</v>
      </c>
    </row>
    <row r="46" spans="1:18" ht="30" customHeight="1" x14ac:dyDescent="0.3">
      <c r="A46" s="12" t="s">
        <v>138</v>
      </c>
      <c r="B46" s="13" t="s">
        <v>101</v>
      </c>
      <c r="C46" s="14">
        <v>100</v>
      </c>
      <c r="D46" s="14">
        <v>2500</v>
      </c>
      <c r="E46" s="14">
        <v>5</v>
      </c>
      <c r="F46" s="14">
        <v>125</v>
      </c>
      <c r="G46" s="15">
        <v>0.05</v>
      </c>
      <c r="H46" s="15">
        <v>0.05</v>
      </c>
      <c r="I46" s="15">
        <v>0.04</v>
      </c>
      <c r="J46" s="15">
        <v>0.05</v>
      </c>
      <c r="K46" s="16" t="s">
        <v>139</v>
      </c>
      <c r="L46" s="14">
        <v>95</v>
      </c>
      <c r="M46" s="14">
        <v>2375</v>
      </c>
      <c r="N46" s="15">
        <v>0.95</v>
      </c>
      <c r="O46" s="15">
        <v>0.95</v>
      </c>
      <c r="P46" s="15">
        <v>0.96</v>
      </c>
      <c r="Q46" s="15">
        <v>0.95</v>
      </c>
      <c r="R46" s="16" t="s">
        <v>140</v>
      </c>
    </row>
    <row r="47" spans="1:18" ht="30" customHeight="1" x14ac:dyDescent="0.3">
      <c r="A47" s="12" t="s">
        <v>141</v>
      </c>
      <c r="B47" s="13" t="s">
        <v>101</v>
      </c>
      <c r="C47" s="14">
        <v>50</v>
      </c>
      <c r="D47" s="14">
        <v>1250</v>
      </c>
      <c r="E47" s="14">
        <v>2</v>
      </c>
      <c r="F47" s="14">
        <v>62</v>
      </c>
      <c r="G47" s="15">
        <v>0.05</v>
      </c>
      <c r="H47" s="15">
        <v>0.05</v>
      </c>
      <c r="I47" s="15">
        <v>0.04</v>
      </c>
      <c r="J47" s="15">
        <v>0.05</v>
      </c>
      <c r="K47" s="16" t="s">
        <v>142</v>
      </c>
      <c r="L47" s="14">
        <v>48</v>
      </c>
      <c r="M47" s="14">
        <v>1188</v>
      </c>
      <c r="N47" s="15">
        <v>0.95</v>
      </c>
      <c r="O47" s="15">
        <v>0.95</v>
      </c>
      <c r="P47" s="15">
        <v>0.96</v>
      </c>
      <c r="Q47" s="15">
        <v>0.95</v>
      </c>
      <c r="R47" s="16" t="s">
        <v>143</v>
      </c>
    </row>
    <row r="48" spans="1:18" ht="30" customHeight="1" x14ac:dyDescent="0.3">
      <c r="A48" s="12" t="s">
        <v>144</v>
      </c>
      <c r="B48" s="13" t="s">
        <v>101</v>
      </c>
      <c r="C48" s="14">
        <v>6</v>
      </c>
      <c r="D48" s="14">
        <v>150</v>
      </c>
      <c r="E48" s="14">
        <v>1</v>
      </c>
      <c r="F48" s="14">
        <v>14</v>
      </c>
      <c r="G48" s="15">
        <v>0.08</v>
      </c>
      <c r="H48" s="15">
        <v>0.1</v>
      </c>
      <c r="I48" s="15">
        <v>0.1</v>
      </c>
      <c r="J48" s="15">
        <v>0.09</v>
      </c>
      <c r="K48" s="16" t="s">
        <v>145</v>
      </c>
      <c r="L48" s="14">
        <v>5</v>
      </c>
      <c r="M48" s="14">
        <v>136</v>
      </c>
      <c r="N48" s="15">
        <v>0.92</v>
      </c>
      <c r="O48" s="15">
        <v>0.9</v>
      </c>
      <c r="P48" s="15">
        <v>0.9</v>
      </c>
      <c r="Q48" s="15">
        <v>0.91</v>
      </c>
      <c r="R48" s="16" t="s">
        <v>146</v>
      </c>
    </row>
    <row r="49" spans="1:18" ht="18" customHeight="1" x14ac:dyDescent="0.3">
      <c r="A49" s="21" t="s">
        <v>147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</row>
    <row r="50" spans="1:18" ht="30" customHeight="1" x14ac:dyDescent="0.3">
      <c r="A50" s="12" t="s">
        <v>148</v>
      </c>
      <c r="B50" s="13" t="s">
        <v>149</v>
      </c>
      <c r="C50" s="14">
        <v>5286</v>
      </c>
      <c r="D50" s="14">
        <v>132150</v>
      </c>
      <c r="E50" s="14">
        <v>2114</v>
      </c>
      <c r="F50" s="14">
        <v>52860</v>
      </c>
      <c r="G50" s="15">
        <v>0.4</v>
      </c>
      <c r="H50" s="15">
        <v>0.42</v>
      </c>
      <c r="I50" s="15">
        <v>0.38</v>
      </c>
      <c r="J50" s="15">
        <v>0.4</v>
      </c>
      <c r="K50" s="16" t="s">
        <v>150</v>
      </c>
      <c r="L50" s="14">
        <v>3172</v>
      </c>
      <c r="M50" s="14">
        <v>79290</v>
      </c>
      <c r="N50" s="15">
        <v>0.6</v>
      </c>
      <c r="O50" s="15">
        <v>0.57999999999999996</v>
      </c>
      <c r="P50" s="15">
        <v>0.62</v>
      </c>
      <c r="Q50" s="15">
        <v>0.6</v>
      </c>
      <c r="R50" s="16" t="s">
        <v>151</v>
      </c>
    </row>
    <row r="51" spans="1:18" ht="30" customHeight="1" x14ac:dyDescent="0.3">
      <c r="A51" s="12" t="s">
        <v>152</v>
      </c>
      <c r="B51" s="13" t="s">
        <v>149</v>
      </c>
      <c r="C51" s="14">
        <v>3485</v>
      </c>
      <c r="D51" s="14">
        <v>87125</v>
      </c>
      <c r="E51" s="14">
        <v>3067</v>
      </c>
      <c r="F51" s="14">
        <v>76670</v>
      </c>
      <c r="G51" s="15">
        <v>0.88</v>
      </c>
      <c r="H51" s="15">
        <v>0.9</v>
      </c>
      <c r="I51" s="15">
        <v>0.85</v>
      </c>
      <c r="J51" s="15">
        <v>0.88</v>
      </c>
      <c r="K51" s="16" t="s">
        <v>153</v>
      </c>
      <c r="L51" s="14">
        <v>418</v>
      </c>
      <c r="M51" s="14">
        <v>10455</v>
      </c>
      <c r="N51" s="15">
        <v>0.12</v>
      </c>
      <c r="O51" s="15">
        <v>0.1</v>
      </c>
      <c r="P51" s="15">
        <v>0.15</v>
      </c>
      <c r="Q51" s="15">
        <v>0.12</v>
      </c>
      <c r="R51" s="16" t="s">
        <v>154</v>
      </c>
    </row>
    <row r="52" spans="1:18" ht="30" customHeight="1" x14ac:dyDescent="0.3">
      <c r="A52" s="12" t="s">
        <v>155</v>
      </c>
      <c r="B52" s="13" t="s">
        <v>149</v>
      </c>
      <c r="C52" s="14">
        <v>811</v>
      </c>
      <c r="D52" s="14">
        <v>20275</v>
      </c>
      <c r="E52" s="14">
        <v>365</v>
      </c>
      <c r="F52" s="14">
        <v>9124</v>
      </c>
      <c r="G52" s="15">
        <v>0.48</v>
      </c>
      <c r="H52" s="15">
        <v>0.44</v>
      </c>
      <c r="I52" s="15">
        <v>0.42</v>
      </c>
      <c r="J52" s="15">
        <v>0.45</v>
      </c>
      <c r="K52" s="16" t="s">
        <v>156</v>
      </c>
      <c r="L52" s="14">
        <v>446</v>
      </c>
      <c r="M52" s="14">
        <v>11151</v>
      </c>
      <c r="N52" s="15">
        <v>0.52</v>
      </c>
      <c r="O52" s="15">
        <v>0.56000000000000005</v>
      </c>
      <c r="P52" s="15">
        <v>0.57999999999999996</v>
      </c>
      <c r="Q52" s="15">
        <v>0.55000000000000004</v>
      </c>
      <c r="R52" s="16" t="s">
        <v>157</v>
      </c>
    </row>
    <row r="53" spans="1:18" ht="30" customHeight="1" x14ac:dyDescent="0.3">
      <c r="A53" s="12" t="s">
        <v>158</v>
      </c>
      <c r="B53" s="13" t="s">
        <v>149</v>
      </c>
      <c r="C53" s="14">
        <v>252</v>
      </c>
      <c r="D53" s="14">
        <v>6300</v>
      </c>
      <c r="E53" s="14">
        <v>174</v>
      </c>
      <c r="F53" s="14">
        <v>4347</v>
      </c>
      <c r="G53" s="15">
        <v>0.68</v>
      </c>
      <c r="H53" s="15">
        <v>0.7</v>
      </c>
      <c r="I53" s="15">
        <v>0.68</v>
      </c>
      <c r="J53" s="15">
        <v>0.69</v>
      </c>
      <c r="K53" s="16" t="s">
        <v>159</v>
      </c>
      <c r="L53" s="14">
        <v>78</v>
      </c>
      <c r="M53" s="14">
        <v>1953</v>
      </c>
      <c r="N53" s="15">
        <v>0.32</v>
      </c>
      <c r="O53" s="15">
        <v>0.3</v>
      </c>
      <c r="P53" s="15">
        <v>0.32</v>
      </c>
      <c r="Q53" s="15">
        <v>0.31</v>
      </c>
      <c r="R53" s="16" t="s">
        <v>160</v>
      </c>
    </row>
    <row r="54" spans="1:18" ht="30" customHeight="1" x14ac:dyDescent="0.3">
      <c r="A54" s="12" t="s">
        <v>161</v>
      </c>
      <c r="B54" s="13" t="s">
        <v>149</v>
      </c>
      <c r="C54" s="14">
        <v>350</v>
      </c>
      <c r="D54" s="14">
        <v>8750</v>
      </c>
      <c r="E54" s="14">
        <v>210</v>
      </c>
      <c r="F54" s="14">
        <v>5250</v>
      </c>
      <c r="G54" s="15">
        <v>0.6</v>
      </c>
      <c r="H54" s="15">
        <v>0.62</v>
      </c>
      <c r="I54" s="15">
        <v>0.57999999999999996</v>
      </c>
      <c r="J54" s="15">
        <v>0.6</v>
      </c>
      <c r="K54" s="16" t="s">
        <v>162</v>
      </c>
      <c r="L54" s="14">
        <v>140</v>
      </c>
      <c r="M54" s="14">
        <v>3500</v>
      </c>
      <c r="N54" s="15">
        <v>0.4</v>
      </c>
      <c r="O54" s="15">
        <v>0.38</v>
      </c>
      <c r="P54" s="15">
        <v>0.42</v>
      </c>
      <c r="Q54" s="15">
        <v>0.4</v>
      </c>
      <c r="R54" s="16" t="s">
        <v>163</v>
      </c>
    </row>
    <row r="55" spans="1:18" ht="30" customHeight="1" x14ac:dyDescent="0.3">
      <c r="A55" s="12" t="s">
        <v>164</v>
      </c>
      <c r="B55" s="13" t="s">
        <v>149</v>
      </c>
      <c r="C55" s="14">
        <v>75</v>
      </c>
      <c r="D55" s="14">
        <v>1875</v>
      </c>
      <c r="E55" s="14">
        <v>16</v>
      </c>
      <c r="F55" s="14">
        <v>394</v>
      </c>
      <c r="G55" s="15">
        <v>0.2</v>
      </c>
      <c r="H55" s="15">
        <v>0.22</v>
      </c>
      <c r="I55" s="15">
        <v>0.2</v>
      </c>
      <c r="J55" s="15">
        <v>0.21</v>
      </c>
      <c r="K55" s="16" t="s">
        <v>165</v>
      </c>
      <c r="L55" s="14">
        <v>59</v>
      </c>
      <c r="M55" s="14">
        <v>1481</v>
      </c>
      <c r="N55" s="15">
        <v>0.8</v>
      </c>
      <c r="O55" s="15">
        <v>0.78</v>
      </c>
      <c r="P55" s="15">
        <v>0.8</v>
      </c>
      <c r="Q55" s="15">
        <v>0.79</v>
      </c>
      <c r="R55" s="16" t="s">
        <v>166</v>
      </c>
    </row>
    <row r="56" spans="1:18" ht="30" customHeight="1" x14ac:dyDescent="0.3">
      <c r="A56" s="12" t="s">
        <v>167</v>
      </c>
      <c r="B56" s="13" t="s">
        <v>149</v>
      </c>
      <c r="C56" s="14">
        <v>68</v>
      </c>
      <c r="D56" s="14">
        <v>1700</v>
      </c>
      <c r="E56" s="14">
        <v>7</v>
      </c>
      <c r="F56" s="14">
        <v>187</v>
      </c>
      <c r="G56" s="15">
        <v>0.1</v>
      </c>
      <c r="H56" s="15">
        <v>0.12</v>
      </c>
      <c r="I56" s="15">
        <v>0.1</v>
      </c>
      <c r="J56" s="15">
        <v>0.11</v>
      </c>
      <c r="K56" s="16" t="s">
        <v>168</v>
      </c>
      <c r="L56" s="14">
        <v>61</v>
      </c>
      <c r="M56" s="14">
        <v>1513</v>
      </c>
      <c r="N56" s="15">
        <v>0.9</v>
      </c>
      <c r="O56" s="15">
        <v>0.88</v>
      </c>
      <c r="P56" s="15">
        <v>0.9</v>
      </c>
      <c r="Q56" s="15">
        <v>0.89</v>
      </c>
      <c r="R56" s="16" t="s">
        <v>169</v>
      </c>
    </row>
    <row r="57" spans="1:18" ht="30" customHeight="1" x14ac:dyDescent="0.3">
      <c r="A57" s="12" t="s">
        <v>170</v>
      </c>
      <c r="B57" s="13" t="s">
        <v>149</v>
      </c>
      <c r="C57" s="14">
        <v>75</v>
      </c>
      <c r="D57" s="14">
        <v>1875</v>
      </c>
      <c r="E57" s="14">
        <v>23</v>
      </c>
      <c r="F57" s="14">
        <v>581</v>
      </c>
      <c r="G57" s="15">
        <v>0.3</v>
      </c>
      <c r="H57" s="15">
        <v>0.32</v>
      </c>
      <c r="I57" s="15">
        <v>0.3</v>
      </c>
      <c r="J57" s="15">
        <v>0.31</v>
      </c>
      <c r="K57" s="16" t="s">
        <v>171</v>
      </c>
      <c r="L57" s="14">
        <v>52</v>
      </c>
      <c r="M57" s="14">
        <v>1294</v>
      </c>
      <c r="N57" s="15">
        <v>0.7</v>
      </c>
      <c r="O57" s="15">
        <v>0.68</v>
      </c>
      <c r="P57" s="15">
        <v>0.7</v>
      </c>
      <c r="Q57" s="15">
        <v>0.69</v>
      </c>
      <c r="R57" s="16" t="s">
        <v>172</v>
      </c>
    </row>
    <row r="58" spans="1:18" ht="22.05" customHeight="1" x14ac:dyDescent="0.3">
      <c r="A58" s="23" t="s">
        <v>173</v>
      </c>
      <c r="B58" s="24"/>
      <c r="C58" s="14">
        <v>51723</v>
      </c>
      <c r="D58" s="14">
        <v>1293080</v>
      </c>
      <c r="E58" s="14">
        <v>23275</v>
      </c>
      <c r="F58" s="14">
        <v>581886</v>
      </c>
      <c r="G58" s="20"/>
      <c r="H58" s="20"/>
      <c r="I58" s="20"/>
      <c r="J58" s="15">
        <v>0.45</v>
      </c>
      <c r="K58" s="20" t="s">
        <v>174</v>
      </c>
      <c r="L58" s="14">
        <v>28448</v>
      </c>
      <c r="M58" s="14">
        <v>711194</v>
      </c>
      <c r="N58" s="20"/>
      <c r="O58" s="20"/>
      <c r="P58" s="20"/>
      <c r="Q58" s="15">
        <v>0.55000000000000004</v>
      </c>
      <c r="R58" s="20" t="s">
        <v>175</v>
      </c>
    </row>
  </sheetData>
  <mergeCells count="8">
    <mergeCell ref="A49:R49"/>
    <mergeCell ref="A58:B58"/>
    <mergeCell ref="A11:R11"/>
    <mergeCell ref="A1:R1"/>
    <mergeCell ref="A32:R32"/>
    <mergeCell ref="A4:R4"/>
    <mergeCell ref="A24:R24"/>
    <mergeCell ref="A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>
      <pane ySplit="3" topLeftCell="A4" activePane="bottomLeft" state="frozen"/>
      <selection pane="bottomLeft" activeCell="D5" sqref="D5"/>
    </sheetView>
  </sheetViews>
  <sheetFormatPr baseColWidth="10" defaultColWidth="8.88671875" defaultRowHeight="14.4" x14ac:dyDescent="0.3"/>
  <cols>
    <col min="1" max="1" width="20" style="10" customWidth="1"/>
    <col min="2" max="4" width="16" style="10" customWidth="1"/>
    <col min="5" max="5" width="14.88671875" style="10" customWidth="1"/>
    <col min="6" max="6" width="24" style="10" customWidth="1"/>
    <col min="7" max="8" width="28" style="10" customWidth="1"/>
    <col min="9" max="16384" width="8.88671875" style="10"/>
  </cols>
  <sheetData>
    <row r="1" spans="1:8" ht="24" customHeight="1" x14ac:dyDescent="0.3">
      <c r="A1" s="25" t="s">
        <v>176</v>
      </c>
      <c r="B1" s="22"/>
      <c r="C1" s="22"/>
      <c r="D1" s="22"/>
      <c r="E1" s="22"/>
      <c r="F1" s="22"/>
      <c r="G1" s="22"/>
      <c r="H1" s="22"/>
    </row>
    <row r="2" spans="1:8" x14ac:dyDescent="0.3">
      <c r="A2" s="31"/>
      <c r="B2" s="22"/>
      <c r="C2" s="22"/>
      <c r="D2" s="22"/>
      <c r="E2" s="22"/>
      <c r="F2" s="22"/>
      <c r="G2" s="22"/>
      <c r="H2" s="22"/>
    </row>
    <row r="3" spans="1:8" ht="40.049999999999997" customHeight="1" x14ac:dyDescent="0.3">
      <c r="A3" s="19" t="s">
        <v>0</v>
      </c>
      <c r="B3" s="19" t="s">
        <v>1</v>
      </c>
      <c r="C3" s="19" t="s">
        <v>177</v>
      </c>
      <c r="D3" s="19" t="s">
        <v>178</v>
      </c>
      <c r="E3" s="19" t="s">
        <v>179</v>
      </c>
      <c r="F3" s="19" t="s">
        <v>180</v>
      </c>
      <c r="G3" s="19" t="s">
        <v>181</v>
      </c>
      <c r="H3" s="19" t="s">
        <v>182</v>
      </c>
    </row>
    <row r="4" spans="1:8" ht="18" customHeight="1" x14ac:dyDescent="0.3">
      <c r="A4" s="21" t="s">
        <v>18</v>
      </c>
      <c r="B4" s="22"/>
      <c r="C4" s="22"/>
      <c r="D4" s="22"/>
      <c r="E4" s="22"/>
      <c r="F4" s="22"/>
      <c r="G4" s="22"/>
      <c r="H4" s="22"/>
    </row>
    <row r="5" spans="1:8" ht="19.95" customHeight="1" x14ac:dyDescent="0.3">
      <c r="A5" s="27" t="s">
        <v>19</v>
      </c>
      <c r="B5" s="28" t="s">
        <v>20</v>
      </c>
      <c r="C5" s="29">
        <v>0.25</v>
      </c>
      <c r="D5" s="29">
        <v>0.15</v>
      </c>
      <c r="E5" s="29">
        <v>0.05</v>
      </c>
      <c r="F5" s="30" t="s">
        <v>183</v>
      </c>
      <c r="G5" s="30" t="s">
        <v>184</v>
      </c>
      <c r="H5" s="30" t="s">
        <v>185</v>
      </c>
    </row>
    <row r="6" spans="1:8" ht="19.95" customHeight="1" x14ac:dyDescent="0.3">
      <c r="A6" s="27" t="s">
        <v>23</v>
      </c>
      <c r="B6" s="28" t="s">
        <v>20</v>
      </c>
      <c r="C6" s="29">
        <v>0.08</v>
      </c>
      <c r="D6" s="29">
        <v>0.06</v>
      </c>
      <c r="E6" s="29">
        <v>0.05</v>
      </c>
      <c r="F6" s="30" t="s">
        <v>186</v>
      </c>
      <c r="G6" s="30" t="s">
        <v>187</v>
      </c>
      <c r="H6" s="30" t="s">
        <v>188</v>
      </c>
    </row>
    <row r="7" spans="1:8" ht="19.95" customHeight="1" x14ac:dyDescent="0.3">
      <c r="A7" s="27" t="s">
        <v>26</v>
      </c>
      <c r="B7" s="28" t="s">
        <v>20</v>
      </c>
      <c r="C7" s="29">
        <v>0.72</v>
      </c>
      <c r="D7" s="29">
        <v>0.68</v>
      </c>
      <c r="E7" s="29">
        <v>0.6</v>
      </c>
      <c r="F7" s="30" t="s">
        <v>189</v>
      </c>
      <c r="G7" s="30" t="s">
        <v>190</v>
      </c>
      <c r="H7" s="30" t="s">
        <v>191</v>
      </c>
    </row>
    <row r="8" spans="1:8" ht="19.95" customHeight="1" x14ac:dyDescent="0.3">
      <c r="A8" s="27" t="s">
        <v>29</v>
      </c>
      <c r="B8" s="28" t="s">
        <v>20</v>
      </c>
      <c r="C8" s="29">
        <v>0.18</v>
      </c>
      <c r="D8" s="29">
        <v>0.14000000000000001</v>
      </c>
      <c r="E8" s="29">
        <v>0.12</v>
      </c>
      <c r="F8" s="30" t="s">
        <v>189</v>
      </c>
      <c r="G8" s="30" t="s">
        <v>190</v>
      </c>
      <c r="H8" s="30" t="s">
        <v>192</v>
      </c>
    </row>
    <row r="9" spans="1:8" ht="19.95" customHeight="1" x14ac:dyDescent="0.3">
      <c r="A9" s="27" t="s">
        <v>32</v>
      </c>
      <c r="B9" s="28" t="s">
        <v>20</v>
      </c>
      <c r="C9" s="29">
        <v>0.88</v>
      </c>
      <c r="D9" s="29">
        <v>0.88</v>
      </c>
      <c r="E9" s="30" t="s">
        <v>33</v>
      </c>
      <c r="F9" s="30" t="s">
        <v>33</v>
      </c>
      <c r="G9" s="30" t="s">
        <v>33</v>
      </c>
      <c r="H9" s="30" t="s">
        <v>193</v>
      </c>
    </row>
    <row r="10" spans="1:8" ht="19.95" customHeight="1" x14ac:dyDescent="0.3">
      <c r="A10" s="27" t="s">
        <v>36</v>
      </c>
      <c r="B10" s="28" t="s">
        <v>20</v>
      </c>
      <c r="C10" s="29">
        <v>0.75</v>
      </c>
      <c r="D10" s="29">
        <v>0.7</v>
      </c>
      <c r="E10" s="30" t="s">
        <v>33</v>
      </c>
      <c r="F10" s="30" t="s">
        <v>33</v>
      </c>
      <c r="G10" s="30" t="s">
        <v>33</v>
      </c>
      <c r="H10" s="30" t="s">
        <v>193</v>
      </c>
    </row>
    <row r="11" spans="1:8" ht="18" customHeight="1" x14ac:dyDescent="0.3">
      <c r="A11" s="21" t="s">
        <v>39</v>
      </c>
      <c r="B11" s="22"/>
      <c r="C11" s="22"/>
      <c r="D11" s="22"/>
      <c r="E11" s="22"/>
      <c r="F11" s="22"/>
      <c r="G11" s="22"/>
      <c r="H11" s="22"/>
    </row>
    <row r="12" spans="1:8" ht="19.95" customHeight="1" x14ac:dyDescent="0.3">
      <c r="A12" s="27" t="s">
        <v>40</v>
      </c>
      <c r="B12" s="28" t="s">
        <v>41</v>
      </c>
      <c r="C12" s="29">
        <v>0.15</v>
      </c>
      <c r="D12" s="29">
        <v>0.12</v>
      </c>
      <c r="E12" s="29">
        <v>0.18</v>
      </c>
      <c r="F12" s="30" t="s">
        <v>186</v>
      </c>
      <c r="G12" s="30" t="s">
        <v>187</v>
      </c>
      <c r="H12" s="30" t="s">
        <v>194</v>
      </c>
    </row>
    <row r="13" spans="1:8" ht="19.95" customHeight="1" x14ac:dyDescent="0.3">
      <c r="A13" s="27" t="s">
        <v>44</v>
      </c>
      <c r="B13" s="28" t="s">
        <v>41</v>
      </c>
      <c r="C13" s="29">
        <v>0.08</v>
      </c>
      <c r="D13" s="29">
        <v>7.0000000000000007E-2</v>
      </c>
      <c r="E13" s="29">
        <v>0.06</v>
      </c>
      <c r="F13" s="30" t="s">
        <v>186</v>
      </c>
      <c r="G13" s="30" t="s">
        <v>187</v>
      </c>
      <c r="H13" s="30" t="s">
        <v>195</v>
      </c>
    </row>
    <row r="14" spans="1:8" ht="19.95" customHeight="1" x14ac:dyDescent="0.3">
      <c r="A14" s="27" t="s">
        <v>47</v>
      </c>
      <c r="B14" s="28" t="s">
        <v>41</v>
      </c>
      <c r="C14" s="29">
        <v>0.42</v>
      </c>
      <c r="D14" s="29">
        <v>0.48</v>
      </c>
      <c r="E14" s="29">
        <v>0.45</v>
      </c>
      <c r="F14" s="30" t="s">
        <v>186</v>
      </c>
      <c r="G14" s="30" t="s">
        <v>187</v>
      </c>
      <c r="H14" s="30" t="s">
        <v>194</v>
      </c>
    </row>
    <row r="15" spans="1:8" ht="19.95" customHeight="1" x14ac:dyDescent="0.3">
      <c r="A15" s="27" t="s">
        <v>50</v>
      </c>
      <c r="B15" s="28" t="s">
        <v>41</v>
      </c>
      <c r="C15" s="29">
        <v>0.25</v>
      </c>
      <c r="D15" s="29">
        <v>0.38</v>
      </c>
      <c r="E15" s="29">
        <v>0.55000000000000004</v>
      </c>
      <c r="F15" s="30" t="s">
        <v>196</v>
      </c>
      <c r="G15" s="30" t="s">
        <v>197</v>
      </c>
      <c r="H15" s="30" t="s">
        <v>198</v>
      </c>
    </row>
    <row r="16" spans="1:8" ht="19.95" customHeight="1" x14ac:dyDescent="0.3">
      <c r="A16" s="27" t="s">
        <v>53</v>
      </c>
      <c r="B16" s="28" t="s">
        <v>41</v>
      </c>
      <c r="C16" s="29">
        <v>0.45</v>
      </c>
      <c r="D16" s="29">
        <v>0.65</v>
      </c>
      <c r="E16" s="29">
        <v>0.68</v>
      </c>
      <c r="F16" s="30" t="s">
        <v>196</v>
      </c>
      <c r="G16" s="30" t="s">
        <v>197</v>
      </c>
      <c r="H16" s="30" t="s">
        <v>199</v>
      </c>
    </row>
    <row r="17" spans="1:8" ht="19.95" customHeight="1" x14ac:dyDescent="0.3">
      <c r="A17" s="27" t="s">
        <v>56</v>
      </c>
      <c r="B17" s="28" t="s">
        <v>41</v>
      </c>
      <c r="C17" s="29">
        <v>0.72</v>
      </c>
      <c r="D17" s="29">
        <v>0.75</v>
      </c>
      <c r="E17" s="29">
        <v>0.7</v>
      </c>
      <c r="F17" s="30" t="s">
        <v>186</v>
      </c>
      <c r="G17" s="30" t="s">
        <v>187</v>
      </c>
      <c r="H17" s="30" t="s">
        <v>195</v>
      </c>
    </row>
    <row r="18" spans="1:8" ht="19.95" customHeight="1" x14ac:dyDescent="0.3">
      <c r="A18" s="27" t="s">
        <v>59</v>
      </c>
      <c r="B18" s="28" t="s">
        <v>41</v>
      </c>
      <c r="C18" s="29">
        <v>0.08</v>
      </c>
      <c r="D18" s="29">
        <v>0.06</v>
      </c>
      <c r="E18" s="29">
        <v>0.05</v>
      </c>
      <c r="F18" s="30" t="s">
        <v>186</v>
      </c>
      <c r="G18" s="30" t="s">
        <v>187</v>
      </c>
      <c r="H18" s="30" t="s">
        <v>188</v>
      </c>
    </row>
    <row r="19" spans="1:8" ht="19.95" customHeight="1" x14ac:dyDescent="0.3">
      <c r="A19" s="27" t="s">
        <v>62</v>
      </c>
      <c r="B19" s="28" t="s">
        <v>41</v>
      </c>
      <c r="C19" s="29">
        <v>0.52</v>
      </c>
      <c r="D19" s="29">
        <v>0.55000000000000004</v>
      </c>
      <c r="E19" s="29">
        <v>0.5</v>
      </c>
      <c r="F19" s="30" t="s">
        <v>186</v>
      </c>
      <c r="G19" s="30" t="s">
        <v>187</v>
      </c>
      <c r="H19" s="30" t="s">
        <v>195</v>
      </c>
    </row>
    <row r="20" spans="1:8" ht="19.95" customHeight="1" x14ac:dyDescent="0.3">
      <c r="A20" s="27" t="s">
        <v>65</v>
      </c>
      <c r="B20" s="28" t="s">
        <v>41</v>
      </c>
      <c r="C20" s="29">
        <v>0.02</v>
      </c>
      <c r="D20" s="29">
        <v>0.02</v>
      </c>
      <c r="E20" s="29">
        <v>0.02</v>
      </c>
      <c r="F20" s="30" t="s">
        <v>186</v>
      </c>
      <c r="G20" s="30" t="s">
        <v>187</v>
      </c>
      <c r="H20" s="30" t="s">
        <v>200</v>
      </c>
    </row>
    <row r="21" spans="1:8" ht="19.95" customHeight="1" x14ac:dyDescent="0.3">
      <c r="A21" s="27" t="s">
        <v>68</v>
      </c>
      <c r="B21" s="28" t="s">
        <v>41</v>
      </c>
      <c r="C21" s="29">
        <v>0.05</v>
      </c>
      <c r="D21" s="29">
        <v>0.05</v>
      </c>
      <c r="E21" s="29">
        <v>0.04</v>
      </c>
      <c r="F21" s="30" t="s">
        <v>186</v>
      </c>
      <c r="G21" s="30" t="s">
        <v>187</v>
      </c>
      <c r="H21" s="30" t="s">
        <v>201</v>
      </c>
    </row>
    <row r="22" spans="1:8" ht="19.95" customHeight="1" x14ac:dyDescent="0.3">
      <c r="A22" s="27" t="s">
        <v>71</v>
      </c>
      <c r="B22" s="28" t="s">
        <v>41</v>
      </c>
      <c r="C22" s="29">
        <v>0.35</v>
      </c>
      <c r="D22" s="29">
        <v>0.42</v>
      </c>
      <c r="E22" s="29">
        <v>0.38</v>
      </c>
      <c r="F22" s="30" t="s">
        <v>186</v>
      </c>
      <c r="G22" s="30" t="s">
        <v>187</v>
      </c>
      <c r="H22" s="30" t="s">
        <v>194</v>
      </c>
    </row>
    <row r="23" spans="1:8" ht="19.95" customHeight="1" x14ac:dyDescent="0.3">
      <c r="A23" s="27" t="s">
        <v>74</v>
      </c>
      <c r="B23" s="28" t="s">
        <v>41</v>
      </c>
      <c r="C23" s="29">
        <v>0.05</v>
      </c>
      <c r="D23" s="29">
        <v>0.04</v>
      </c>
      <c r="E23" s="29">
        <v>0.04</v>
      </c>
      <c r="F23" s="30" t="s">
        <v>186</v>
      </c>
      <c r="G23" s="30" t="s">
        <v>187</v>
      </c>
      <c r="H23" s="30" t="s">
        <v>201</v>
      </c>
    </row>
    <row r="24" spans="1:8" ht="18" customHeight="1" x14ac:dyDescent="0.3">
      <c r="A24" s="21" t="s">
        <v>77</v>
      </c>
      <c r="B24" s="22"/>
      <c r="C24" s="22"/>
      <c r="D24" s="22"/>
      <c r="E24" s="22"/>
      <c r="F24" s="22"/>
      <c r="G24" s="22"/>
      <c r="H24" s="22"/>
    </row>
    <row r="25" spans="1:8" ht="19.95" customHeight="1" x14ac:dyDescent="0.3">
      <c r="A25" s="27" t="s">
        <v>78</v>
      </c>
      <c r="B25" s="28" t="s">
        <v>79</v>
      </c>
      <c r="C25" s="29">
        <v>0.78</v>
      </c>
      <c r="D25" s="29">
        <v>0.8</v>
      </c>
      <c r="E25" s="29">
        <v>0.8</v>
      </c>
      <c r="F25" s="30" t="s">
        <v>186</v>
      </c>
      <c r="G25" s="30" t="s">
        <v>187</v>
      </c>
      <c r="H25" s="30" t="s">
        <v>202</v>
      </c>
    </row>
    <row r="26" spans="1:8" ht="19.95" customHeight="1" x14ac:dyDescent="0.3">
      <c r="A26" s="27" t="s">
        <v>82</v>
      </c>
      <c r="B26" s="28" t="s">
        <v>79</v>
      </c>
      <c r="C26" s="29">
        <v>0.42</v>
      </c>
      <c r="D26" s="29">
        <v>0.44</v>
      </c>
      <c r="E26" s="29">
        <v>0.4</v>
      </c>
      <c r="F26" s="30" t="s">
        <v>186</v>
      </c>
      <c r="G26" s="30" t="s">
        <v>187</v>
      </c>
      <c r="H26" s="30" t="s">
        <v>195</v>
      </c>
    </row>
    <row r="27" spans="1:8" ht="19.95" customHeight="1" x14ac:dyDescent="0.3">
      <c r="A27" s="27" t="s">
        <v>85</v>
      </c>
      <c r="B27" s="28" t="s">
        <v>79</v>
      </c>
      <c r="C27" s="29">
        <v>0.68</v>
      </c>
      <c r="D27" s="29">
        <v>0.7</v>
      </c>
      <c r="E27" s="29">
        <v>0.65</v>
      </c>
      <c r="F27" s="30" t="s">
        <v>186</v>
      </c>
      <c r="G27" s="30" t="s">
        <v>187</v>
      </c>
      <c r="H27" s="30" t="s">
        <v>188</v>
      </c>
    </row>
    <row r="28" spans="1:8" ht="19.95" customHeight="1" x14ac:dyDescent="0.3">
      <c r="A28" s="27" t="s">
        <v>88</v>
      </c>
      <c r="B28" s="28" t="s">
        <v>79</v>
      </c>
      <c r="C28" s="29">
        <v>0.8</v>
      </c>
      <c r="D28" s="29">
        <v>0.8</v>
      </c>
      <c r="E28" s="29">
        <v>0.78</v>
      </c>
      <c r="F28" s="30" t="s">
        <v>186</v>
      </c>
      <c r="G28" s="30" t="s">
        <v>187</v>
      </c>
      <c r="H28" s="30" t="s">
        <v>195</v>
      </c>
    </row>
    <row r="29" spans="1:8" ht="19.95" customHeight="1" x14ac:dyDescent="0.3">
      <c r="A29" s="27" t="s">
        <v>90</v>
      </c>
      <c r="B29" s="28" t="s">
        <v>79</v>
      </c>
      <c r="C29" s="29">
        <v>0.8</v>
      </c>
      <c r="D29" s="29">
        <v>0.82</v>
      </c>
      <c r="E29" s="29">
        <v>0.8</v>
      </c>
      <c r="F29" s="30" t="s">
        <v>186</v>
      </c>
      <c r="G29" s="30" t="s">
        <v>187</v>
      </c>
      <c r="H29" s="30" t="s">
        <v>200</v>
      </c>
    </row>
    <row r="30" spans="1:8" ht="19.95" customHeight="1" x14ac:dyDescent="0.3">
      <c r="A30" s="27" t="s">
        <v>93</v>
      </c>
      <c r="B30" s="28" t="s">
        <v>79</v>
      </c>
      <c r="C30" s="29">
        <v>0.9</v>
      </c>
      <c r="D30" s="29">
        <v>0.92</v>
      </c>
      <c r="E30" s="29">
        <v>0.88</v>
      </c>
      <c r="F30" s="30" t="s">
        <v>186</v>
      </c>
      <c r="G30" s="30" t="s">
        <v>187</v>
      </c>
      <c r="H30" s="30" t="s">
        <v>195</v>
      </c>
    </row>
    <row r="31" spans="1:8" ht="19.95" customHeight="1" x14ac:dyDescent="0.3">
      <c r="A31" s="27" t="s">
        <v>96</v>
      </c>
      <c r="B31" s="28" t="s">
        <v>79</v>
      </c>
      <c r="C31" s="29">
        <v>0.68</v>
      </c>
      <c r="D31" s="29">
        <v>0.7</v>
      </c>
      <c r="E31" s="30" t="s">
        <v>33</v>
      </c>
      <c r="F31" s="30" t="s">
        <v>33</v>
      </c>
      <c r="G31" s="30" t="s">
        <v>33</v>
      </c>
      <c r="H31" s="30" t="s">
        <v>193</v>
      </c>
    </row>
    <row r="32" spans="1:8" ht="18" customHeight="1" x14ac:dyDescent="0.3">
      <c r="A32" s="21" t="s">
        <v>99</v>
      </c>
      <c r="B32" s="22"/>
      <c r="C32" s="22"/>
      <c r="D32" s="22"/>
      <c r="E32" s="22"/>
      <c r="F32" s="22"/>
      <c r="G32" s="22"/>
      <c r="H32" s="22"/>
    </row>
    <row r="33" spans="1:8" ht="19.95" customHeight="1" x14ac:dyDescent="0.3">
      <c r="A33" s="27" t="s">
        <v>100</v>
      </c>
      <c r="B33" s="28" t="s">
        <v>101</v>
      </c>
      <c r="C33" s="29">
        <v>0.72</v>
      </c>
      <c r="D33" s="29">
        <v>0.68</v>
      </c>
      <c r="E33" s="29">
        <v>0.6</v>
      </c>
      <c r="F33" s="30" t="s">
        <v>189</v>
      </c>
      <c r="G33" s="30" t="s">
        <v>190</v>
      </c>
      <c r="H33" s="30" t="s">
        <v>191</v>
      </c>
    </row>
    <row r="34" spans="1:8" ht="19.95" customHeight="1" x14ac:dyDescent="0.3">
      <c r="A34" s="27" t="s">
        <v>104</v>
      </c>
      <c r="B34" s="28" t="s">
        <v>101</v>
      </c>
      <c r="C34" s="29">
        <v>0.55000000000000004</v>
      </c>
      <c r="D34" s="29">
        <v>0.57999999999999996</v>
      </c>
      <c r="E34" s="29">
        <v>0.52</v>
      </c>
      <c r="F34" s="30" t="s">
        <v>186</v>
      </c>
      <c r="G34" s="30" t="s">
        <v>187</v>
      </c>
      <c r="H34" s="30" t="s">
        <v>188</v>
      </c>
    </row>
    <row r="35" spans="1:8" ht="19.95" customHeight="1" x14ac:dyDescent="0.3">
      <c r="A35" s="27" t="s">
        <v>107</v>
      </c>
      <c r="B35" s="28" t="s">
        <v>101</v>
      </c>
      <c r="C35" s="29">
        <v>0.18</v>
      </c>
      <c r="D35" s="29">
        <v>0.2</v>
      </c>
      <c r="E35" s="29">
        <v>0.22</v>
      </c>
      <c r="F35" s="30" t="s">
        <v>186</v>
      </c>
      <c r="G35" s="30" t="s">
        <v>187</v>
      </c>
      <c r="H35" s="30" t="s">
        <v>203</v>
      </c>
    </row>
    <row r="36" spans="1:8" ht="19.95" customHeight="1" x14ac:dyDescent="0.3">
      <c r="A36" s="27" t="s">
        <v>110</v>
      </c>
      <c r="B36" s="28" t="s">
        <v>101</v>
      </c>
      <c r="C36" s="29">
        <v>0.22</v>
      </c>
      <c r="D36" s="29">
        <v>0.28000000000000003</v>
      </c>
      <c r="E36" s="29">
        <v>0.55000000000000004</v>
      </c>
      <c r="F36" s="30" t="s">
        <v>196</v>
      </c>
      <c r="G36" s="30" t="s">
        <v>197</v>
      </c>
      <c r="H36" s="30" t="s">
        <v>204</v>
      </c>
    </row>
    <row r="37" spans="1:8" ht="19.95" customHeight="1" x14ac:dyDescent="0.3">
      <c r="A37" s="27" t="s">
        <v>113</v>
      </c>
      <c r="B37" s="28" t="s">
        <v>101</v>
      </c>
      <c r="C37" s="29">
        <v>0.82</v>
      </c>
      <c r="D37" s="29">
        <v>0.85</v>
      </c>
      <c r="E37" s="29">
        <v>0.84</v>
      </c>
      <c r="F37" s="30" t="s">
        <v>186</v>
      </c>
      <c r="G37" s="30" t="s">
        <v>187</v>
      </c>
      <c r="H37" s="30" t="s">
        <v>202</v>
      </c>
    </row>
    <row r="38" spans="1:8" ht="19.95" customHeight="1" x14ac:dyDescent="0.3">
      <c r="A38" s="27" t="s">
        <v>116</v>
      </c>
      <c r="B38" s="28" t="s">
        <v>101</v>
      </c>
      <c r="C38" s="29">
        <v>0.55000000000000004</v>
      </c>
      <c r="D38" s="29">
        <v>0.42</v>
      </c>
      <c r="E38" s="29">
        <v>0.38</v>
      </c>
      <c r="F38" s="30" t="s">
        <v>183</v>
      </c>
      <c r="G38" s="30" t="s">
        <v>184</v>
      </c>
      <c r="H38" s="30" t="s">
        <v>205</v>
      </c>
    </row>
    <row r="39" spans="1:8" ht="19.95" customHeight="1" x14ac:dyDescent="0.3">
      <c r="A39" s="27" t="s">
        <v>119</v>
      </c>
      <c r="B39" s="28" t="s">
        <v>101</v>
      </c>
      <c r="C39" s="29">
        <v>0.78</v>
      </c>
      <c r="D39" s="29">
        <v>0.8</v>
      </c>
      <c r="E39" s="29">
        <v>0.78</v>
      </c>
      <c r="F39" s="30" t="s">
        <v>186</v>
      </c>
      <c r="G39" s="30" t="s">
        <v>187</v>
      </c>
      <c r="H39" s="30" t="s">
        <v>200</v>
      </c>
    </row>
    <row r="40" spans="1:8" ht="19.95" customHeight="1" x14ac:dyDescent="0.3">
      <c r="A40" s="27" t="s">
        <v>122</v>
      </c>
      <c r="B40" s="28" t="s">
        <v>101</v>
      </c>
      <c r="C40" s="29">
        <v>0.62</v>
      </c>
      <c r="D40" s="29">
        <v>0.68</v>
      </c>
      <c r="E40" s="29">
        <v>0.68</v>
      </c>
      <c r="F40" s="30" t="s">
        <v>206</v>
      </c>
      <c r="G40" s="30" t="s">
        <v>207</v>
      </c>
      <c r="H40" s="30" t="s">
        <v>208</v>
      </c>
    </row>
    <row r="41" spans="1:8" ht="19.95" customHeight="1" x14ac:dyDescent="0.3">
      <c r="A41" s="27" t="s">
        <v>125</v>
      </c>
      <c r="B41" s="28" t="s">
        <v>101</v>
      </c>
      <c r="C41" s="29">
        <v>0.72</v>
      </c>
      <c r="D41" s="29">
        <v>0.74</v>
      </c>
      <c r="E41" s="29">
        <v>0.72</v>
      </c>
      <c r="F41" s="30" t="s">
        <v>186</v>
      </c>
      <c r="G41" s="30" t="s">
        <v>187</v>
      </c>
      <c r="H41" s="30" t="s">
        <v>200</v>
      </c>
    </row>
    <row r="42" spans="1:8" ht="19.95" customHeight="1" x14ac:dyDescent="0.3">
      <c r="A42" s="27" t="s">
        <v>127</v>
      </c>
      <c r="B42" s="28" t="s">
        <v>101</v>
      </c>
      <c r="C42" s="29">
        <v>0.12</v>
      </c>
      <c r="D42" s="29">
        <v>0.14000000000000001</v>
      </c>
      <c r="E42" s="29">
        <v>0.14000000000000001</v>
      </c>
      <c r="F42" s="30" t="s">
        <v>186</v>
      </c>
      <c r="G42" s="30" t="s">
        <v>187</v>
      </c>
      <c r="H42" s="30" t="s">
        <v>202</v>
      </c>
    </row>
    <row r="43" spans="1:8" ht="19.95" customHeight="1" x14ac:dyDescent="0.3">
      <c r="A43" s="27" t="s">
        <v>130</v>
      </c>
      <c r="B43" s="28" t="s">
        <v>101</v>
      </c>
      <c r="C43" s="29">
        <v>0.22</v>
      </c>
      <c r="D43" s="29">
        <v>0.25</v>
      </c>
      <c r="E43" s="29">
        <v>0.24</v>
      </c>
      <c r="F43" s="30" t="s">
        <v>186</v>
      </c>
      <c r="G43" s="30" t="s">
        <v>187</v>
      </c>
      <c r="H43" s="30" t="s">
        <v>202</v>
      </c>
    </row>
    <row r="44" spans="1:8" ht="19.95" customHeight="1" x14ac:dyDescent="0.3">
      <c r="A44" s="27" t="s">
        <v>133</v>
      </c>
      <c r="B44" s="28" t="s">
        <v>101</v>
      </c>
      <c r="C44" s="29">
        <v>0.62</v>
      </c>
      <c r="D44" s="29">
        <v>0.65</v>
      </c>
      <c r="E44" s="29">
        <v>0.62</v>
      </c>
      <c r="F44" s="30" t="s">
        <v>186</v>
      </c>
      <c r="G44" s="30" t="s">
        <v>187</v>
      </c>
      <c r="H44" s="30" t="s">
        <v>200</v>
      </c>
    </row>
    <row r="45" spans="1:8" ht="19.95" customHeight="1" x14ac:dyDescent="0.3">
      <c r="A45" s="27" t="s">
        <v>135</v>
      </c>
      <c r="B45" s="28" t="s">
        <v>101</v>
      </c>
      <c r="C45" s="29">
        <v>0.52</v>
      </c>
      <c r="D45" s="29">
        <v>0.55000000000000004</v>
      </c>
      <c r="E45" s="29">
        <v>0.52</v>
      </c>
      <c r="F45" s="30" t="s">
        <v>186</v>
      </c>
      <c r="G45" s="30" t="s">
        <v>187</v>
      </c>
      <c r="H45" s="30" t="s">
        <v>200</v>
      </c>
    </row>
    <row r="46" spans="1:8" ht="19.95" customHeight="1" x14ac:dyDescent="0.3">
      <c r="A46" s="27" t="s">
        <v>138</v>
      </c>
      <c r="B46" s="28" t="s">
        <v>101</v>
      </c>
      <c r="C46" s="29">
        <v>0.05</v>
      </c>
      <c r="D46" s="29">
        <v>0.05</v>
      </c>
      <c r="E46" s="29">
        <v>0.04</v>
      </c>
      <c r="F46" s="30" t="s">
        <v>186</v>
      </c>
      <c r="G46" s="30" t="s">
        <v>187</v>
      </c>
      <c r="H46" s="30" t="s">
        <v>201</v>
      </c>
    </row>
    <row r="47" spans="1:8" ht="19.95" customHeight="1" x14ac:dyDescent="0.3">
      <c r="A47" s="27" t="s">
        <v>141</v>
      </c>
      <c r="B47" s="28" t="s">
        <v>101</v>
      </c>
      <c r="C47" s="29">
        <v>0.05</v>
      </c>
      <c r="D47" s="29">
        <v>0.05</v>
      </c>
      <c r="E47" s="29">
        <v>0.04</v>
      </c>
      <c r="F47" s="30" t="s">
        <v>186</v>
      </c>
      <c r="G47" s="30" t="s">
        <v>187</v>
      </c>
      <c r="H47" s="30" t="s">
        <v>201</v>
      </c>
    </row>
    <row r="48" spans="1:8" ht="19.95" customHeight="1" x14ac:dyDescent="0.3">
      <c r="A48" s="27" t="s">
        <v>144</v>
      </c>
      <c r="B48" s="28" t="s">
        <v>101</v>
      </c>
      <c r="C48" s="29">
        <v>0.08</v>
      </c>
      <c r="D48" s="29">
        <v>0.1</v>
      </c>
      <c r="E48" s="29">
        <v>0.1</v>
      </c>
      <c r="F48" s="30" t="s">
        <v>186</v>
      </c>
      <c r="G48" s="30" t="s">
        <v>187</v>
      </c>
      <c r="H48" s="30" t="s">
        <v>202</v>
      </c>
    </row>
    <row r="49" spans="1:8" ht="18" customHeight="1" x14ac:dyDescent="0.3">
      <c r="A49" s="21" t="s">
        <v>147</v>
      </c>
      <c r="B49" s="22"/>
      <c r="C49" s="22"/>
      <c r="D49" s="22"/>
      <c r="E49" s="22"/>
      <c r="F49" s="22"/>
      <c r="G49" s="22"/>
      <c r="H49" s="22"/>
    </row>
    <row r="50" spans="1:8" ht="19.95" customHeight="1" x14ac:dyDescent="0.3">
      <c r="A50" s="27" t="s">
        <v>148</v>
      </c>
      <c r="B50" s="28" t="s">
        <v>149</v>
      </c>
      <c r="C50" s="29">
        <v>0.4</v>
      </c>
      <c r="D50" s="29">
        <v>0.42</v>
      </c>
      <c r="E50" s="29">
        <v>0.38</v>
      </c>
      <c r="F50" s="30" t="s">
        <v>186</v>
      </c>
      <c r="G50" s="30" t="s">
        <v>187</v>
      </c>
      <c r="H50" s="30" t="s">
        <v>195</v>
      </c>
    </row>
    <row r="51" spans="1:8" ht="19.95" customHeight="1" x14ac:dyDescent="0.3">
      <c r="A51" s="27" t="s">
        <v>152</v>
      </c>
      <c r="B51" s="28" t="s">
        <v>149</v>
      </c>
      <c r="C51" s="29">
        <v>0.88</v>
      </c>
      <c r="D51" s="29">
        <v>0.9</v>
      </c>
      <c r="E51" s="29">
        <v>0.85</v>
      </c>
      <c r="F51" s="30" t="s">
        <v>186</v>
      </c>
      <c r="G51" s="30" t="s">
        <v>187</v>
      </c>
      <c r="H51" s="30" t="s">
        <v>188</v>
      </c>
    </row>
    <row r="52" spans="1:8" ht="19.95" customHeight="1" x14ac:dyDescent="0.3">
      <c r="A52" s="27" t="s">
        <v>155</v>
      </c>
      <c r="B52" s="28" t="s">
        <v>149</v>
      </c>
      <c r="C52" s="29">
        <v>0.48</v>
      </c>
      <c r="D52" s="29">
        <v>0.44</v>
      </c>
      <c r="E52" s="29">
        <v>0.42</v>
      </c>
      <c r="F52" s="30" t="s">
        <v>189</v>
      </c>
      <c r="G52" s="30" t="s">
        <v>190</v>
      </c>
      <c r="H52" s="30" t="s">
        <v>192</v>
      </c>
    </row>
    <row r="53" spans="1:8" ht="19.95" customHeight="1" x14ac:dyDescent="0.3">
      <c r="A53" s="27" t="s">
        <v>158</v>
      </c>
      <c r="B53" s="28" t="s">
        <v>149</v>
      </c>
      <c r="C53" s="29">
        <v>0.68</v>
      </c>
      <c r="D53" s="29">
        <v>0.7</v>
      </c>
      <c r="E53" s="29">
        <v>0.68</v>
      </c>
      <c r="F53" s="30" t="s">
        <v>186</v>
      </c>
      <c r="G53" s="30" t="s">
        <v>187</v>
      </c>
      <c r="H53" s="30" t="s">
        <v>200</v>
      </c>
    </row>
    <row r="54" spans="1:8" ht="19.95" customHeight="1" x14ac:dyDescent="0.3">
      <c r="A54" s="27" t="s">
        <v>161</v>
      </c>
      <c r="B54" s="28" t="s">
        <v>149</v>
      </c>
      <c r="C54" s="29">
        <v>0.6</v>
      </c>
      <c r="D54" s="29">
        <v>0.62</v>
      </c>
      <c r="E54" s="29">
        <v>0.57999999999999996</v>
      </c>
      <c r="F54" s="30" t="s">
        <v>186</v>
      </c>
      <c r="G54" s="30" t="s">
        <v>187</v>
      </c>
      <c r="H54" s="30" t="s">
        <v>195</v>
      </c>
    </row>
    <row r="55" spans="1:8" ht="19.95" customHeight="1" x14ac:dyDescent="0.3">
      <c r="A55" s="27" t="s">
        <v>164</v>
      </c>
      <c r="B55" s="28" t="s">
        <v>149</v>
      </c>
      <c r="C55" s="29">
        <v>0.2</v>
      </c>
      <c r="D55" s="29">
        <v>0.22</v>
      </c>
      <c r="E55" s="29">
        <v>0.2</v>
      </c>
      <c r="F55" s="30" t="s">
        <v>186</v>
      </c>
      <c r="G55" s="30" t="s">
        <v>187</v>
      </c>
      <c r="H55" s="30" t="s">
        <v>200</v>
      </c>
    </row>
    <row r="56" spans="1:8" ht="19.95" customHeight="1" x14ac:dyDescent="0.3">
      <c r="A56" s="27" t="s">
        <v>167</v>
      </c>
      <c r="B56" s="28" t="s">
        <v>149</v>
      </c>
      <c r="C56" s="29">
        <v>0.1</v>
      </c>
      <c r="D56" s="29">
        <v>0.12</v>
      </c>
      <c r="E56" s="29">
        <v>0.1</v>
      </c>
      <c r="F56" s="30" t="s">
        <v>186</v>
      </c>
      <c r="G56" s="30" t="s">
        <v>187</v>
      </c>
      <c r="H56" s="30" t="s">
        <v>200</v>
      </c>
    </row>
    <row r="57" spans="1:8" ht="19.95" customHeight="1" x14ac:dyDescent="0.3">
      <c r="A57" s="27" t="s">
        <v>170</v>
      </c>
      <c r="B57" s="28" t="s">
        <v>149</v>
      </c>
      <c r="C57" s="29">
        <v>0.3</v>
      </c>
      <c r="D57" s="29">
        <v>0.32</v>
      </c>
      <c r="E57" s="29">
        <v>0.3</v>
      </c>
      <c r="F57" s="30" t="s">
        <v>186</v>
      </c>
      <c r="G57" s="30" t="s">
        <v>187</v>
      </c>
      <c r="H57" s="30" t="s">
        <v>200</v>
      </c>
    </row>
  </sheetData>
  <mergeCells count="7">
    <mergeCell ref="A49:H49"/>
    <mergeCell ref="A1:H1"/>
    <mergeCell ref="A32:H32"/>
    <mergeCell ref="A4:H4"/>
    <mergeCell ref="A24:H24"/>
    <mergeCell ref="A2:H2"/>
    <mergeCell ref="A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workbookViewId="0">
      <pane ySplit="3" topLeftCell="A4" activePane="bottomLeft" state="frozen"/>
      <selection pane="bottomLeft" activeCell="E7" sqref="E7"/>
    </sheetView>
  </sheetViews>
  <sheetFormatPr baseColWidth="10" defaultColWidth="8.88671875" defaultRowHeight="14.4" x14ac:dyDescent="0.3"/>
  <cols>
    <col min="1" max="1" width="7" style="10" customWidth="1"/>
    <col min="2" max="2" width="20" style="10" customWidth="1"/>
    <col min="3" max="3" width="16" style="10" customWidth="1"/>
    <col min="4" max="6" width="14" style="10" customWidth="1"/>
    <col min="7" max="7" width="55" style="10" customWidth="1"/>
    <col min="8" max="16384" width="8.88671875" style="10"/>
  </cols>
  <sheetData>
    <row r="1" spans="1:7" ht="24" customHeight="1" x14ac:dyDescent="0.3">
      <c r="A1" s="25" t="s">
        <v>209</v>
      </c>
      <c r="B1" s="22"/>
      <c r="C1" s="22"/>
      <c r="D1" s="22"/>
      <c r="E1" s="22"/>
      <c r="F1" s="22"/>
      <c r="G1" s="22"/>
    </row>
    <row r="2" spans="1:7" x14ac:dyDescent="0.3">
      <c r="A2" s="31"/>
      <c r="B2" s="22"/>
      <c r="C2" s="22"/>
      <c r="D2" s="22"/>
      <c r="E2" s="22"/>
      <c r="F2" s="22"/>
      <c r="G2" s="22"/>
    </row>
    <row r="3" spans="1:7" ht="36" customHeight="1" x14ac:dyDescent="0.3">
      <c r="A3" s="19" t="s">
        <v>210</v>
      </c>
      <c r="B3" s="19" t="s">
        <v>0</v>
      </c>
      <c r="C3" s="19" t="s">
        <v>1</v>
      </c>
      <c r="D3" s="19" t="s">
        <v>211</v>
      </c>
      <c r="E3" s="19" t="s">
        <v>212</v>
      </c>
      <c r="F3" s="19" t="s">
        <v>213</v>
      </c>
      <c r="G3" s="19" t="s">
        <v>214</v>
      </c>
    </row>
    <row r="4" spans="1:7" ht="18" customHeight="1" x14ac:dyDescent="0.3">
      <c r="A4" s="19">
        <v>1</v>
      </c>
      <c r="B4" s="19" t="s">
        <v>93</v>
      </c>
      <c r="C4" s="30" t="s">
        <v>79</v>
      </c>
      <c r="D4" s="32">
        <v>0.9</v>
      </c>
      <c r="E4" s="33">
        <v>750</v>
      </c>
      <c r="F4" s="33">
        <v>675</v>
      </c>
      <c r="G4" s="28" t="s">
        <v>94</v>
      </c>
    </row>
    <row r="5" spans="1:7" ht="18" customHeight="1" x14ac:dyDescent="0.3">
      <c r="A5" s="19">
        <v>2</v>
      </c>
      <c r="B5" s="19" t="s">
        <v>32</v>
      </c>
      <c r="C5" s="30" t="s">
        <v>20</v>
      </c>
      <c r="D5" s="32">
        <v>0.88</v>
      </c>
      <c r="E5" s="30"/>
      <c r="F5" s="30"/>
      <c r="G5" s="28" t="s">
        <v>34</v>
      </c>
    </row>
    <row r="6" spans="1:7" ht="18" customHeight="1" x14ac:dyDescent="0.3">
      <c r="A6" s="19">
        <v>3</v>
      </c>
      <c r="B6" s="19" t="s">
        <v>152</v>
      </c>
      <c r="C6" s="30" t="s">
        <v>149</v>
      </c>
      <c r="D6" s="32">
        <v>0.88</v>
      </c>
      <c r="E6" s="33">
        <v>3485</v>
      </c>
      <c r="F6" s="33">
        <v>3067</v>
      </c>
      <c r="G6" s="28" t="s">
        <v>153</v>
      </c>
    </row>
    <row r="7" spans="1:7" ht="18" customHeight="1" x14ac:dyDescent="0.3">
      <c r="A7" s="19">
        <v>4</v>
      </c>
      <c r="B7" s="19" t="s">
        <v>113</v>
      </c>
      <c r="C7" s="30" t="s">
        <v>101</v>
      </c>
      <c r="D7" s="32">
        <v>0.84</v>
      </c>
      <c r="E7" s="33">
        <v>500</v>
      </c>
      <c r="F7" s="33">
        <v>420</v>
      </c>
      <c r="G7" s="28" t="s">
        <v>114</v>
      </c>
    </row>
    <row r="8" spans="1:7" ht="18" customHeight="1" x14ac:dyDescent="0.3">
      <c r="A8" s="19">
        <v>5</v>
      </c>
      <c r="B8" s="19" t="s">
        <v>90</v>
      </c>
      <c r="C8" s="30" t="s">
        <v>79</v>
      </c>
      <c r="D8" s="32">
        <v>0.81</v>
      </c>
      <c r="E8" s="33">
        <v>1202</v>
      </c>
      <c r="F8" s="33">
        <v>974</v>
      </c>
      <c r="G8" s="28" t="s">
        <v>91</v>
      </c>
    </row>
    <row r="9" spans="1:7" ht="18" customHeight="1" x14ac:dyDescent="0.3">
      <c r="A9" s="19">
        <v>6</v>
      </c>
      <c r="B9" s="19" t="s">
        <v>78</v>
      </c>
      <c r="C9" s="30" t="s">
        <v>79</v>
      </c>
      <c r="D9" s="32">
        <v>0.79</v>
      </c>
      <c r="E9" s="33">
        <v>1822</v>
      </c>
      <c r="F9" s="33">
        <v>1439</v>
      </c>
      <c r="G9" s="28" t="s">
        <v>80</v>
      </c>
    </row>
    <row r="10" spans="1:7" ht="18" customHeight="1" x14ac:dyDescent="0.3">
      <c r="A10" s="19">
        <v>7</v>
      </c>
      <c r="B10" s="19" t="s">
        <v>88</v>
      </c>
      <c r="C10" s="30" t="s">
        <v>79</v>
      </c>
      <c r="D10" s="32">
        <v>0.79</v>
      </c>
      <c r="E10" s="33">
        <v>561</v>
      </c>
      <c r="F10" s="33">
        <v>443</v>
      </c>
      <c r="G10" s="28" t="s">
        <v>89</v>
      </c>
    </row>
    <row r="11" spans="1:7" ht="18" customHeight="1" x14ac:dyDescent="0.3">
      <c r="A11" s="19">
        <v>8</v>
      </c>
      <c r="B11" s="19" t="s">
        <v>119</v>
      </c>
      <c r="C11" s="30" t="s">
        <v>101</v>
      </c>
      <c r="D11" s="32">
        <v>0.79</v>
      </c>
      <c r="E11" s="33">
        <v>360</v>
      </c>
      <c r="F11" s="33">
        <v>284</v>
      </c>
      <c r="G11" s="28" t="s">
        <v>120</v>
      </c>
    </row>
    <row r="12" spans="1:7" ht="18" customHeight="1" x14ac:dyDescent="0.3">
      <c r="A12" s="19">
        <v>9</v>
      </c>
      <c r="B12" s="19" t="s">
        <v>125</v>
      </c>
      <c r="C12" s="30" t="s">
        <v>101</v>
      </c>
      <c r="D12" s="32">
        <v>0.73</v>
      </c>
      <c r="E12" s="33">
        <v>317</v>
      </c>
      <c r="F12" s="33">
        <v>231</v>
      </c>
      <c r="G12" s="28" t="s">
        <v>126</v>
      </c>
    </row>
    <row r="13" spans="1:7" ht="18" customHeight="1" x14ac:dyDescent="0.3">
      <c r="A13" s="19">
        <v>10</v>
      </c>
      <c r="B13" s="19" t="s">
        <v>36</v>
      </c>
      <c r="C13" s="30" t="s">
        <v>20</v>
      </c>
      <c r="D13" s="32">
        <v>0.72</v>
      </c>
      <c r="E13" s="30"/>
      <c r="F13" s="30"/>
      <c r="G13" s="28" t="s">
        <v>37</v>
      </c>
    </row>
    <row r="14" spans="1:7" ht="18" customHeight="1" x14ac:dyDescent="0.3">
      <c r="A14" s="19">
        <v>11</v>
      </c>
      <c r="B14" s="19" t="s">
        <v>56</v>
      </c>
      <c r="C14" s="30" t="s">
        <v>41</v>
      </c>
      <c r="D14" s="32">
        <v>0.72</v>
      </c>
      <c r="E14" s="33">
        <v>756</v>
      </c>
      <c r="F14" s="33">
        <v>544</v>
      </c>
      <c r="G14" s="28" t="s">
        <v>57</v>
      </c>
    </row>
    <row r="15" spans="1:7" ht="18" customHeight="1" x14ac:dyDescent="0.3">
      <c r="A15" s="19">
        <v>12</v>
      </c>
      <c r="B15" s="19" t="s">
        <v>96</v>
      </c>
      <c r="C15" s="30" t="s">
        <v>79</v>
      </c>
      <c r="D15" s="32">
        <v>0.69</v>
      </c>
      <c r="E15" s="30"/>
      <c r="F15" s="30"/>
      <c r="G15" s="28" t="s">
        <v>97</v>
      </c>
    </row>
    <row r="16" spans="1:7" ht="18" customHeight="1" x14ac:dyDescent="0.3">
      <c r="A16" s="19">
        <v>13</v>
      </c>
      <c r="B16" s="19" t="s">
        <v>158</v>
      </c>
      <c r="C16" s="30" t="s">
        <v>149</v>
      </c>
      <c r="D16" s="32">
        <v>0.69</v>
      </c>
      <c r="E16" s="33">
        <v>252</v>
      </c>
      <c r="F16" s="33">
        <v>174</v>
      </c>
      <c r="G16" s="28" t="s">
        <v>159</v>
      </c>
    </row>
    <row r="17" spans="1:7" ht="18" customHeight="1" x14ac:dyDescent="0.3">
      <c r="A17" s="19">
        <v>14</v>
      </c>
      <c r="B17" s="19" t="s">
        <v>85</v>
      </c>
      <c r="C17" s="30" t="s">
        <v>79</v>
      </c>
      <c r="D17" s="32">
        <v>0.68</v>
      </c>
      <c r="E17" s="33">
        <v>617</v>
      </c>
      <c r="F17" s="33">
        <v>420</v>
      </c>
      <c r="G17" s="28" t="s">
        <v>86</v>
      </c>
    </row>
    <row r="18" spans="1:7" ht="18" customHeight="1" x14ac:dyDescent="0.3">
      <c r="A18" s="19">
        <v>15</v>
      </c>
      <c r="B18" s="19" t="s">
        <v>26</v>
      </c>
      <c r="C18" s="30" t="s">
        <v>20</v>
      </c>
      <c r="D18" s="32">
        <v>0.67</v>
      </c>
      <c r="E18" s="33">
        <v>1576</v>
      </c>
      <c r="F18" s="33">
        <v>1056</v>
      </c>
      <c r="G18" s="28" t="s">
        <v>27</v>
      </c>
    </row>
    <row r="19" spans="1:7" ht="18" customHeight="1" x14ac:dyDescent="0.3">
      <c r="A19" s="19">
        <v>16</v>
      </c>
      <c r="B19" s="19" t="s">
        <v>100</v>
      </c>
      <c r="C19" s="30" t="s">
        <v>101</v>
      </c>
      <c r="D19" s="32">
        <v>0.67</v>
      </c>
      <c r="E19" s="33">
        <v>3835</v>
      </c>
      <c r="F19" s="33">
        <v>2569</v>
      </c>
      <c r="G19" s="28" t="s">
        <v>102</v>
      </c>
    </row>
    <row r="20" spans="1:7" ht="18" customHeight="1" x14ac:dyDescent="0.3">
      <c r="A20" s="19">
        <v>17</v>
      </c>
      <c r="B20" s="19" t="s">
        <v>122</v>
      </c>
      <c r="C20" s="30" t="s">
        <v>101</v>
      </c>
      <c r="D20" s="32">
        <v>0.66</v>
      </c>
      <c r="E20" s="33">
        <v>195</v>
      </c>
      <c r="F20" s="33">
        <v>129</v>
      </c>
      <c r="G20" s="28" t="s">
        <v>123</v>
      </c>
    </row>
    <row r="21" spans="1:7" ht="18" customHeight="1" x14ac:dyDescent="0.3">
      <c r="A21" s="19">
        <v>18</v>
      </c>
      <c r="B21" s="19" t="s">
        <v>133</v>
      </c>
      <c r="C21" s="30" t="s">
        <v>101</v>
      </c>
      <c r="D21" s="32">
        <v>0.63</v>
      </c>
      <c r="E21" s="33">
        <v>318</v>
      </c>
      <c r="F21" s="33">
        <v>200</v>
      </c>
      <c r="G21" s="28" t="s">
        <v>134</v>
      </c>
    </row>
    <row r="22" spans="1:7" ht="18" customHeight="1" x14ac:dyDescent="0.3">
      <c r="A22" s="19">
        <v>19</v>
      </c>
      <c r="B22" s="19" t="s">
        <v>161</v>
      </c>
      <c r="C22" s="30" t="s">
        <v>149</v>
      </c>
      <c r="D22" s="32">
        <v>0.6</v>
      </c>
      <c r="E22" s="33">
        <v>350</v>
      </c>
      <c r="F22" s="33">
        <v>210</v>
      </c>
      <c r="G22" s="28" t="s">
        <v>162</v>
      </c>
    </row>
    <row r="23" spans="1:7" ht="18" customHeight="1" x14ac:dyDescent="0.3">
      <c r="A23" s="19">
        <v>20</v>
      </c>
      <c r="B23" s="19" t="s">
        <v>53</v>
      </c>
      <c r="C23" s="30" t="s">
        <v>41</v>
      </c>
      <c r="D23" s="32">
        <v>0.59</v>
      </c>
      <c r="E23" s="33">
        <v>2537</v>
      </c>
      <c r="F23" s="33">
        <v>1497</v>
      </c>
      <c r="G23" s="28" t="s">
        <v>54</v>
      </c>
    </row>
    <row r="24" spans="1:7" ht="18" customHeight="1" x14ac:dyDescent="0.3">
      <c r="A24" s="19">
        <v>21</v>
      </c>
      <c r="B24" s="19" t="s">
        <v>104</v>
      </c>
      <c r="C24" s="30" t="s">
        <v>101</v>
      </c>
      <c r="D24" s="32">
        <v>0.55000000000000004</v>
      </c>
      <c r="E24" s="33">
        <v>2140</v>
      </c>
      <c r="F24" s="33">
        <v>1177</v>
      </c>
      <c r="G24" s="28" t="s">
        <v>105</v>
      </c>
    </row>
    <row r="25" spans="1:7" ht="18" customHeight="1" x14ac:dyDescent="0.3">
      <c r="A25" s="19">
        <v>22</v>
      </c>
      <c r="B25" s="19" t="s">
        <v>135</v>
      </c>
      <c r="C25" s="30" t="s">
        <v>101</v>
      </c>
      <c r="D25" s="32">
        <v>0.53</v>
      </c>
      <c r="E25" s="33">
        <v>371</v>
      </c>
      <c r="F25" s="33">
        <v>197</v>
      </c>
      <c r="G25" s="28" t="s">
        <v>136</v>
      </c>
    </row>
    <row r="26" spans="1:7" ht="18" customHeight="1" x14ac:dyDescent="0.3">
      <c r="A26" s="19">
        <v>23</v>
      </c>
      <c r="B26" s="19" t="s">
        <v>62</v>
      </c>
      <c r="C26" s="30" t="s">
        <v>41</v>
      </c>
      <c r="D26" s="32">
        <v>0.52</v>
      </c>
      <c r="E26" s="33">
        <v>370</v>
      </c>
      <c r="F26" s="33">
        <v>192</v>
      </c>
      <c r="G26" s="28" t="s">
        <v>63</v>
      </c>
    </row>
    <row r="27" spans="1:7" ht="18" customHeight="1" x14ac:dyDescent="0.3">
      <c r="A27" s="19">
        <v>24</v>
      </c>
      <c r="B27" s="19" t="s">
        <v>47</v>
      </c>
      <c r="C27" s="30" t="s">
        <v>41</v>
      </c>
      <c r="D27" s="32">
        <v>0.45</v>
      </c>
      <c r="E27" s="33">
        <v>1093</v>
      </c>
      <c r="F27" s="33">
        <v>492</v>
      </c>
      <c r="G27" s="28" t="s">
        <v>48</v>
      </c>
    </row>
    <row r="28" spans="1:7" ht="18" customHeight="1" x14ac:dyDescent="0.3">
      <c r="A28" s="19">
        <v>25</v>
      </c>
      <c r="B28" s="19" t="s">
        <v>116</v>
      </c>
      <c r="C28" s="30" t="s">
        <v>101</v>
      </c>
      <c r="D28" s="32">
        <v>0.45</v>
      </c>
      <c r="E28" s="33">
        <v>637</v>
      </c>
      <c r="F28" s="33">
        <v>287</v>
      </c>
      <c r="G28" s="28" t="s">
        <v>117</v>
      </c>
    </row>
    <row r="29" spans="1:7" ht="18" customHeight="1" x14ac:dyDescent="0.3">
      <c r="A29" s="19">
        <v>26</v>
      </c>
      <c r="B29" s="19" t="s">
        <v>155</v>
      </c>
      <c r="C29" s="30" t="s">
        <v>149</v>
      </c>
      <c r="D29" s="32">
        <v>0.45</v>
      </c>
      <c r="E29" s="33">
        <v>811</v>
      </c>
      <c r="F29" s="33">
        <v>365</v>
      </c>
      <c r="G29" s="28" t="s">
        <v>156</v>
      </c>
    </row>
    <row r="30" spans="1:7" ht="18" customHeight="1" x14ac:dyDescent="0.3">
      <c r="A30" s="19">
        <v>27</v>
      </c>
      <c r="B30" s="19" t="s">
        <v>82</v>
      </c>
      <c r="C30" s="30" t="s">
        <v>79</v>
      </c>
      <c r="D30" s="32">
        <v>0.42</v>
      </c>
      <c r="E30" s="33">
        <v>603</v>
      </c>
      <c r="F30" s="33">
        <v>253</v>
      </c>
      <c r="G30" s="28" t="s">
        <v>83</v>
      </c>
    </row>
    <row r="31" spans="1:7" ht="18" customHeight="1" x14ac:dyDescent="0.3">
      <c r="A31" s="19">
        <v>28</v>
      </c>
      <c r="B31" s="19" t="s">
        <v>148</v>
      </c>
      <c r="C31" s="30" t="s">
        <v>149</v>
      </c>
      <c r="D31" s="32">
        <v>0.4</v>
      </c>
      <c r="E31" s="33">
        <v>5286</v>
      </c>
      <c r="F31" s="33">
        <v>2114</v>
      </c>
      <c r="G31" s="28" t="s">
        <v>150</v>
      </c>
    </row>
    <row r="32" spans="1:7" ht="18" customHeight="1" x14ac:dyDescent="0.3">
      <c r="A32" s="19">
        <v>29</v>
      </c>
      <c r="B32" s="19" t="s">
        <v>50</v>
      </c>
      <c r="C32" s="30" t="s">
        <v>41</v>
      </c>
      <c r="D32" s="32">
        <v>0.39</v>
      </c>
      <c r="E32" s="33">
        <v>867</v>
      </c>
      <c r="F32" s="33">
        <v>338</v>
      </c>
      <c r="G32" s="28" t="s">
        <v>51</v>
      </c>
    </row>
    <row r="33" spans="1:7" ht="18" customHeight="1" x14ac:dyDescent="0.3">
      <c r="A33" s="19">
        <v>30</v>
      </c>
      <c r="B33" s="19" t="s">
        <v>71</v>
      </c>
      <c r="C33" s="30" t="s">
        <v>41</v>
      </c>
      <c r="D33" s="32">
        <v>0.38</v>
      </c>
      <c r="E33" s="33">
        <v>9</v>
      </c>
      <c r="F33" s="33">
        <v>3</v>
      </c>
      <c r="G33" s="28" t="s">
        <v>72</v>
      </c>
    </row>
    <row r="34" spans="1:7" ht="18" customHeight="1" x14ac:dyDescent="0.3">
      <c r="A34" s="19">
        <v>31</v>
      </c>
      <c r="B34" s="19" t="s">
        <v>110</v>
      </c>
      <c r="C34" s="30" t="s">
        <v>101</v>
      </c>
      <c r="D34" s="32">
        <v>0.35</v>
      </c>
      <c r="E34" s="33">
        <v>896</v>
      </c>
      <c r="F34" s="33">
        <v>314</v>
      </c>
      <c r="G34" s="28" t="s">
        <v>111</v>
      </c>
    </row>
    <row r="35" spans="1:7" ht="18" customHeight="1" x14ac:dyDescent="0.3">
      <c r="A35" s="19">
        <v>32</v>
      </c>
      <c r="B35" s="19" t="s">
        <v>170</v>
      </c>
      <c r="C35" s="30" t="s">
        <v>149</v>
      </c>
      <c r="D35" s="32">
        <v>0.31</v>
      </c>
      <c r="E35" s="33">
        <v>75</v>
      </c>
      <c r="F35" s="33">
        <v>23</v>
      </c>
      <c r="G35" s="28" t="s">
        <v>171</v>
      </c>
    </row>
    <row r="36" spans="1:7" ht="18" customHeight="1" x14ac:dyDescent="0.3">
      <c r="A36" s="19">
        <v>33</v>
      </c>
      <c r="B36" s="19" t="s">
        <v>130</v>
      </c>
      <c r="C36" s="30" t="s">
        <v>101</v>
      </c>
      <c r="D36" s="32">
        <v>0.24</v>
      </c>
      <c r="E36" s="33">
        <v>204</v>
      </c>
      <c r="F36" s="33">
        <v>49</v>
      </c>
      <c r="G36" s="28" t="s">
        <v>131</v>
      </c>
    </row>
    <row r="37" spans="1:7" ht="18" customHeight="1" x14ac:dyDescent="0.3">
      <c r="A37" s="19">
        <v>34</v>
      </c>
      <c r="B37" s="19" t="s">
        <v>164</v>
      </c>
      <c r="C37" s="30" t="s">
        <v>149</v>
      </c>
      <c r="D37" s="32">
        <v>0.21</v>
      </c>
      <c r="E37" s="33">
        <v>75</v>
      </c>
      <c r="F37" s="33">
        <v>16</v>
      </c>
      <c r="G37" s="28" t="s">
        <v>165</v>
      </c>
    </row>
    <row r="38" spans="1:7" ht="18" customHeight="1" x14ac:dyDescent="0.3">
      <c r="A38" s="19">
        <v>35</v>
      </c>
      <c r="B38" s="19" t="s">
        <v>107</v>
      </c>
      <c r="C38" s="30" t="s">
        <v>101</v>
      </c>
      <c r="D38" s="32">
        <v>0.2</v>
      </c>
      <c r="E38" s="33">
        <v>931</v>
      </c>
      <c r="F38" s="33">
        <v>186</v>
      </c>
      <c r="G38" s="28" t="s">
        <v>108</v>
      </c>
    </row>
    <row r="39" spans="1:7" ht="18" customHeight="1" x14ac:dyDescent="0.3">
      <c r="A39" s="19">
        <v>36</v>
      </c>
      <c r="B39" s="19" t="s">
        <v>19</v>
      </c>
      <c r="C39" s="30" t="s">
        <v>20</v>
      </c>
      <c r="D39" s="32">
        <v>0.15</v>
      </c>
      <c r="E39" s="33">
        <v>10855</v>
      </c>
      <c r="F39" s="33">
        <v>1628</v>
      </c>
      <c r="G39" s="28" t="s">
        <v>21</v>
      </c>
    </row>
    <row r="40" spans="1:7" ht="18" customHeight="1" x14ac:dyDescent="0.3">
      <c r="A40" s="19">
        <v>37</v>
      </c>
      <c r="B40" s="19" t="s">
        <v>29</v>
      </c>
      <c r="C40" s="30" t="s">
        <v>20</v>
      </c>
      <c r="D40" s="32">
        <v>0.15</v>
      </c>
      <c r="E40" s="33">
        <v>943</v>
      </c>
      <c r="F40" s="33">
        <v>141</v>
      </c>
      <c r="G40" s="28" t="s">
        <v>30</v>
      </c>
    </row>
    <row r="41" spans="1:7" ht="18" customHeight="1" x14ac:dyDescent="0.3">
      <c r="A41" s="19">
        <v>38</v>
      </c>
      <c r="B41" s="19" t="s">
        <v>40</v>
      </c>
      <c r="C41" s="30" t="s">
        <v>41</v>
      </c>
      <c r="D41" s="32">
        <v>0.15</v>
      </c>
      <c r="E41" s="33">
        <v>1965</v>
      </c>
      <c r="F41" s="33">
        <v>295</v>
      </c>
      <c r="G41" s="28" t="s">
        <v>42</v>
      </c>
    </row>
    <row r="42" spans="1:7" ht="18" customHeight="1" x14ac:dyDescent="0.3">
      <c r="A42" s="19">
        <v>39</v>
      </c>
      <c r="B42" s="19" t="s">
        <v>127</v>
      </c>
      <c r="C42" s="30" t="s">
        <v>101</v>
      </c>
      <c r="D42" s="32">
        <v>0.13</v>
      </c>
      <c r="E42" s="33">
        <v>231</v>
      </c>
      <c r="F42" s="33">
        <v>30</v>
      </c>
      <c r="G42" s="28" t="s">
        <v>128</v>
      </c>
    </row>
    <row r="43" spans="1:7" ht="18" customHeight="1" x14ac:dyDescent="0.3">
      <c r="A43" s="19">
        <v>40</v>
      </c>
      <c r="B43" s="19" t="s">
        <v>167</v>
      </c>
      <c r="C43" s="30" t="s">
        <v>149</v>
      </c>
      <c r="D43" s="32">
        <v>0.11</v>
      </c>
      <c r="E43" s="33">
        <v>68</v>
      </c>
      <c r="F43" s="33">
        <v>7</v>
      </c>
      <c r="G43" s="28" t="s">
        <v>168</v>
      </c>
    </row>
    <row r="44" spans="1:7" ht="18" customHeight="1" x14ac:dyDescent="0.3">
      <c r="A44" s="19">
        <v>41</v>
      </c>
      <c r="B44" s="19" t="s">
        <v>144</v>
      </c>
      <c r="C44" s="30" t="s">
        <v>101</v>
      </c>
      <c r="D44" s="32">
        <v>0.09</v>
      </c>
      <c r="E44" s="33">
        <v>6</v>
      </c>
      <c r="F44" s="33">
        <v>1</v>
      </c>
      <c r="G44" s="28" t="s">
        <v>145</v>
      </c>
    </row>
    <row r="45" spans="1:7" ht="18" customHeight="1" x14ac:dyDescent="0.3">
      <c r="A45" s="19">
        <v>42</v>
      </c>
      <c r="B45" s="19" t="s">
        <v>44</v>
      </c>
      <c r="C45" s="30" t="s">
        <v>41</v>
      </c>
      <c r="D45" s="32">
        <v>7.0000000000000007E-2</v>
      </c>
      <c r="E45" s="33">
        <v>574</v>
      </c>
      <c r="F45" s="33">
        <v>40</v>
      </c>
      <c r="G45" s="28" t="s">
        <v>45</v>
      </c>
    </row>
    <row r="46" spans="1:7" ht="18" customHeight="1" x14ac:dyDescent="0.3">
      <c r="A46" s="19">
        <v>43</v>
      </c>
      <c r="B46" s="19" t="s">
        <v>23</v>
      </c>
      <c r="C46" s="30" t="s">
        <v>20</v>
      </c>
      <c r="D46" s="32">
        <v>0.06</v>
      </c>
      <c r="E46" s="33">
        <v>2112</v>
      </c>
      <c r="F46" s="33">
        <v>127</v>
      </c>
      <c r="G46" s="28" t="s">
        <v>24</v>
      </c>
    </row>
    <row r="47" spans="1:7" ht="18" customHeight="1" x14ac:dyDescent="0.3">
      <c r="A47" s="19">
        <v>44</v>
      </c>
      <c r="B47" s="19" t="s">
        <v>59</v>
      </c>
      <c r="C47" s="30" t="s">
        <v>41</v>
      </c>
      <c r="D47" s="32">
        <v>0.06</v>
      </c>
      <c r="E47" s="33">
        <v>272</v>
      </c>
      <c r="F47" s="33">
        <v>16</v>
      </c>
      <c r="G47" s="28" t="s">
        <v>60</v>
      </c>
    </row>
    <row r="48" spans="1:7" ht="18" customHeight="1" x14ac:dyDescent="0.3">
      <c r="A48" s="19">
        <v>45</v>
      </c>
      <c r="B48" s="19" t="s">
        <v>68</v>
      </c>
      <c r="C48" s="30" t="s">
        <v>41</v>
      </c>
      <c r="D48" s="32">
        <v>0.05</v>
      </c>
      <c r="E48" s="33">
        <v>190</v>
      </c>
      <c r="F48" s="33">
        <v>10</v>
      </c>
      <c r="G48" s="28" t="s">
        <v>69</v>
      </c>
    </row>
    <row r="49" spans="1:7" ht="18" customHeight="1" x14ac:dyDescent="0.3">
      <c r="A49" s="19">
        <v>46</v>
      </c>
      <c r="B49" s="19" t="s">
        <v>138</v>
      </c>
      <c r="C49" s="30" t="s">
        <v>101</v>
      </c>
      <c r="D49" s="32">
        <v>0.05</v>
      </c>
      <c r="E49" s="33">
        <v>100</v>
      </c>
      <c r="F49" s="33">
        <v>5</v>
      </c>
      <c r="G49" s="28" t="s">
        <v>139</v>
      </c>
    </row>
    <row r="50" spans="1:7" ht="18" customHeight="1" x14ac:dyDescent="0.3">
      <c r="A50" s="19">
        <v>47</v>
      </c>
      <c r="B50" s="19" t="s">
        <v>141</v>
      </c>
      <c r="C50" s="30" t="s">
        <v>101</v>
      </c>
      <c r="D50" s="32">
        <v>0.05</v>
      </c>
      <c r="E50" s="33">
        <v>50</v>
      </c>
      <c r="F50" s="33">
        <v>2</v>
      </c>
      <c r="G50" s="28" t="s">
        <v>142</v>
      </c>
    </row>
    <row r="51" spans="1:7" ht="18" customHeight="1" x14ac:dyDescent="0.3">
      <c r="A51" s="19">
        <v>48</v>
      </c>
      <c r="B51" s="19" t="s">
        <v>74</v>
      </c>
      <c r="C51" s="30" t="s">
        <v>41</v>
      </c>
      <c r="D51" s="32">
        <v>0.04</v>
      </c>
      <c r="E51" s="33">
        <v>176</v>
      </c>
      <c r="F51" s="33">
        <v>7</v>
      </c>
      <c r="G51" s="28" t="s">
        <v>75</v>
      </c>
    </row>
    <row r="52" spans="1:7" ht="18" customHeight="1" x14ac:dyDescent="0.3">
      <c r="A52" s="19">
        <v>49</v>
      </c>
      <c r="B52" s="19" t="s">
        <v>65</v>
      </c>
      <c r="C52" s="30" t="s">
        <v>41</v>
      </c>
      <c r="D52" s="32">
        <v>0.02</v>
      </c>
      <c r="E52" s="33">
        <v>380</v>
      </c>
      <c r="F52" s="33">
        <v>8</v>
      </c>
      <c r="G52" s="28" t="s">
        <v>66</v>
      </c>
    </row>
    <row r="54" spans="1:7" x14ac:dyDescent="0.3">
      <c r="A54" s="34" t="s">
        <v>215</v>
      </c>
      <c r="B54" s="22"/>
      <c r="C54" s="22"/>
      <c r="D54" s="22"/>
      <c r="E54" s="22"/>
      <c r="F54" s="22"/>
      <c r="G54" s="22"/>
    </row>
  </sheetData>
  <mergeCells count="3">
    <mergeCell ref="A2:G2"/>
    <mergeCell ref="A1:G1"/>
    <mergeCell ref="A54:G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C6C3-F054-4424-8867-623654B5447A}">
  <dimension ref="B3:M27"/>
  <sheetViews>
    <sheetView tabSelected="1" topLeftCell="A37" workbookViewId="0">
      <selection activeCell="J2" sqref="J2"/>
    </sheetView>
  </sheetViews>
  <sheetFormatPr baseColWidth="10" defaultRowHeight="14.4" x14ac:dyDescent="0.3"/>
  <cols>
    <col min="3" max="3" width="18.6640625" customWidth="1"/>
  </cols>
  <sheetData>
    <row r="3" spans="2:11" ht="15" thickBot="1" x14ac:dyDescent="0.35">
      <c r="B3" s="10"/>
      <c r="C3" s="10"/>
      <c r="D3" s="10"/>
      <c r="E3" s="10"/>
      <c r="F3" s="10"/>
      <c r="G3" s="10"/>
    </row>
    <row r="4" spans="2:11" ht="40.200000000000003" thickBot="1" x14ac:dyDescent="0.35">
      <c r="B4" s="10"/>
      <c r="C4" s="35" t="s">
        <v>1</v>
      </c>
      <c r="D4" s="36" t="s">
        <v>216</v>
      </c>
      <c r="E4" s="36" t="s">
        <v>230</v>
      </c>
      <c r="F4" s="36" t="s">
        <v>218</v>
      </c>
      <c r="G4" s="36" t="s">
        <v>220</v>
      </c>
      <c r="J4" s="1" t="s">
        <v>217</v>
      </c>
      <c r="K4" s="1" t="s">
        <v>219</v>
      </c>
    </row>
    <row r="5" spans="2:11" ht="53.4" thickBot="1" x14ac:dyDescent="0.35">
      <c r="B5" s="10"/>
      <c r="C5" s="37" t="s">
        <v>221</v>
      </c>
      <c r="D5" s="38">
        <v>0.748</v>
      </c>
      <c r="E5" s="38">
        <f>1-D5</f>
        <v>0.252</v>
      </c>
      <c r="F5" s="38">
        <v>3.2800000000000003E-2</v>
      </c>
      <c r="G5" s="39" t="s">
        <v>222</v>
      </c>
      <c r="J5" s="2">
        <v>5.7799999999999997E-2</v>
      </c>
      <c r="K5" s="3">
        <v>0.56999999999999995</v>
      </c>
    </row>
    <row r="6" spans="2:11" ht="53.4" thickBot="1" x14ac:dyDescent="0.35">
      <c r="B6" s="10"/>
      <c r="C6" s="37" t="s">
        <v>223</v>
      </c>
      <c r="D6" s="38">
        <v>0.49099999999999999</v>
      </c>
      <c r="E6" s="38">
        <f t="shared" ref="E6:E9" si="0">1-D6</f>
        <v>0.50900000000000001</v>
      </c>
      <c r="F6" s="38">
        <v>3.2399999999999998E-2</v>
      </c>
      <c r="G6" s="39" t="s">
        <v>224</v>
      </c>
      <c r="J6" s="2">
        <v>4.3400000000000001E-2</v>
      </c>
      <c r="K6" s="3">
        <v>0.75</v>
      </c>
    </row>
    <row r="7" spans="2:11" ht="66.599999999999994" thickBot="1" x14ac:dyDescent="0.35">
      <c r="B7" s="10"/>
      <c r="C7" s="37" t="s">
        <v>225</v>
      </c>
      <c r="D7" s="38">
        <v>0.46600000000000003</v>
      </c>
      <c r="E7" s="38">
        <f t="shared" si="0"/>
        <v>0.53400000000000003</v>
      </c>
      <c r="F7" s="38">
        <v>4.3999999999999997E-2</v>
      </c>
      <c r="G7" s="39" t="s">
        <v>226</v>
      </c>
      <c r="J7" s="2">
        <v>4.2599999999999999E-2</v>
      </c>
      <c r="K7" s="3">
        <v>1.03</v>
      </c>
    </row>
    <row r="8" spans="2:11" ht="66.599999999999994" thickBot="1" x14ac:dyDescent="0.35">
      <c r="B8" s="10"/>
      <c r="C8" s="37" t="s">
        <v>227</v>
      </c>
      <c r="D8" s="38">
        <v>0.26600000000000001</v>
      </c>
      <c r="E8" s="38">
        <f>1-D8</f>
        <v>0.73399999999999999</v>
      </c>
      <c r="F8" s="38">
        <v>4.1799999999999997E-2</v>
      </c>
      <c r="G8" s="39" t="s">
        <v>228</v>
      </c>
      <c r="J8" s="2">
        <v>3.44E-2</v>
      </c>
      <c r="K8" s="3">
        <v>1.22</v>
      </c>
    </row>
    <row r="9" spans="2:11" ht="53.4" thickBot="1" x14ac:dyDescent="0.35">
      <c r="B9" s="10"/>
      <c r="C9" s="37" t="s">
        <v>20</v>
      </c>
      <c r="D9" s="38">
        <v>0.215</v>
      </c>
      <c r="E9" s="38">
        <f t="shared" si="0"/>
        <v>0.78500000000000003</v>
      </c>
      <c r="F9" s="38">
        <v>3.15E-2</v>
      </c>
      <c r="G9" s="39" t="s">
        <v>229</v>
      </c>
      <c r="J9" s="2">
        <v>2.1600000000000001E-2</v>
      </c>
      <c r="K9" s="3">
        <v>1.46</v>
      </c>
    </row>
    <row r="22" spans="3:13" ht="26.4" x14ac:dyDescent="0.3">
      <c r="C22" s="8" t="s">
        <v>1</v>
      </c>
      <c r="D22" s="7" t="s">
        <v>231</v>
      </c>
      <c r="E22" s="7" t="s">
        <v>232</v>
      </c>
      <c r="F22" s="7" t="s">
        <v>233</v>
      </c>
      <c r="H22" s="4" t="s">
        <v>1</v>
      </c>
      <c r="I22" s="6" t="s">
        <v>221</v>
      </c>
      <c r="J22" s="6" t="s">
        <v>223</v>
      </c>
      <c r="K22" s="6" t="s">
        <v>225</v>
      </c>
      <c r="L22" s="6" t="s">
        <v>227</v>
      </c>
      <c r="M22" s="6" t="s">
        <v>20</v>
      </c>
    </row>
    <row r="23" spans="3:13" x14ac:dyDescent="0.3">
      <c r="C23" s="9" t="s">
        <v>221</v>
      </c>
      <c r="D23" s="7">
        <v>0.78500000000000003</v>
      </c>
      <c r="E23" s="7">
        <v>0.79500000000000004</v>
      </c>
      <c r="F23" s="7">
        <v>0.78</v>
      </c>
      <c r="H23" s="5" t="s">
        <v>231</v>
      </c>
      <c r="I23" s="5">
        <v>0.78500000000000003</v>
      </c>
      <c r="J23" s="5">
        <v>0.47</v>
      </c>
      <c r="K23" s="5">
        <v>0.46</v>
      </c>
      <c r="L23" s="5">
        <v>0.245</v>
      </c>
      <c r="M23" s="5">
        <v>0.375</v>
      </c>
    </row>
    <row r="24" spans="3:13" x14ac:dyDescent="0.3">
      <c r="C24" s="9" t="s">
        <v>223</v>
      </c>
      <c r="D24" s="7">
        <v>0.47</v>
      </c>
      <c r="E24" s="7">
        <v>0.48499999999999999</v>
      </c>
      <c r="F24" s="7">
        <v>0.45</v>
      </c>
      <c r="H24" s="5" t="s">
        <v>232</v>
      </c>
      <c r="I24" s="5">
        <v>0.79500000000000004</v>
      </c>
      <c r="J24" s="5">
        <v>0.48499999999999999</v>
      </c>
      <c r="K24" s="5">
        <v>0.47</v>
      </c>
      <c r="L24" s="5">
        <v>0.3</v>
      </c>
      <c r="M24" s="5">
        <v>0.35</v>
      </c>
    </row>
    <row r="25" spans="3:13" x14ac:dyDescent="0.3">
      <c r="C25" s="9" t="s">
        <v>225</v>
      </c>
      <c r="D25" s="7">
        <v>0.46</v>
      </c>
      <c r="E25" s="7">
        <v>0.47</v>
      </c>
      <c r="F25" s="7">
        <v>0.45</v>
      </c>
      <c r="H25" s="5" t="s">
        <v>233</v>
      </c>
      <c r="I25" s="5">
        <v>0.78</v>
      </c>
      <c r="J25" s="5">
        <v>0.45</v>
      </c>
      <c r="K25" s="5">
        <v>0.45</v>
      </c>
      <c r="L25" s="5">
        <v>0.28999999999999998</v>
      </c>
      <c r="M25" s="5">
        <v>0.16</v>
      </c>
    </row>
    <row r="26" spans="3:13" x14ac:dyDescent="0.3">
      <c r="C26" s="9" t="s">
        <v>227</v>
      </c>
      <c r="D26" s="7">
        <v>0.245</v>
      </c>
      <c r="E26" s="7">
        <v>0.3</v>
      </c>
      <c r="F26" s="7">
        <v>0.28999999999999998</v>
      </c>
    </row>
    <row r="27" spans="3:13" x14ac:dyDescent="0.3">
      <c r="C27" s="9" t="s">
        <v>20</v>
      </c>
      <c r="D27" s="7">
        <v>0.375</v>
      </c>
      <c r="E27" s="7">
        <v>0.35</v>
      </c>
      <c r="F27" s="7">
        <v>0.16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IDE Extractif vs Non-Extractif</vt:lpstr>
      <vt:lpstr>Evolution part extractive</vt:lpstr>
      <vt:lpstr>Classement dependance extractiv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Davy Souli</cp:lastModifiedBy>
  <dcterms:created xsi:type="dcterms:W3CDTF">2026-05-26T05:58:49Z</dcterms:created>
  <dcterms:modified xsi:type="dcterms:W3CDTF">2026-09-24T17:23:07Z</dcterms:modified>
</cp:coreProperties>
</file>
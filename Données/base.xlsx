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Y\Desktop\Doc_pdf\"/>
    </mc:Choice>
  </mc:AlternateContent>
  <xr:revisionPtr revIDLastSave="0" documentId="13_ncr:1_{BDD31515-2B29-4709-A6A5-67227D1A0D19}" xr6:coauthVersionLast="47" xr6:coauthVersionMax="47" xr10:uidLastSave="{00000000-0000-0000-0000-000000000000}"/>
  <bookViews>
    <workbookView xWindow="-108" yWindow="-108" windowWidth="23256" windowHeight="12456" xr2:uid="{18E88F8C-FA50-4280-868A-9D3C7CFE4329}"/>
  </bookViews>
  <sheets>
    <sheet name="1. Données_IDE_PIB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6" i="1" l="1"/>
  <c r="AD5" i="1"/>
</calcChain>
</file>

<file path=xl/sharedStrings.xml><?xml version="1.0" encoding="utf-8"?>
<sst xmlns="http://schemas.openxmlformats.org/spreadsheetml/2006/main" count="1002" uniqueCount="123">
  <si>
    <t>IDE entrants nets (BoP, USD courants) &amp; PIB par habitant (USD courants)</t>
  </si>
  <si>
    <t>Pays</t>
  </si>
  <si>
    <t>Code</t>
  </si>
  <si>
    <t>Sous-région</t>
  </si>
  <si>
    <t>Indicateur</t>
  </si>
  <si>
    <t>Algeria</t>
  </si>
  <si>
    <t>DZA</t>
  </si>
  <si>
    <t>Afrique du Nord</t>
  </si>
  <si>
    <t>IDE nets (USD)</t>
  </si>
  <si>
    <t>PIB/hab. (USD)</t>
  </si>
  <si>
    <t>IDE (% PIB)</t>
  </si>
  <si>
    <t>Croissance PIB (%, rél.)</t>
  </si>
  <si>
    <t>Libya</t>
  </si>
  <si>
    <t>LBY</t>
  </si>
  <si>
    <t>-</t>
  </si>
  <si>
    <t>Morocco</t>
  </si>
  <si>
    <t>MAR</t>
  </si>
  <si>
    <t>Tunisia</t>
  </si>
  <si>
    <t>TUN</t>
  </si>
  <si>
    <t>Egypt, Arab Rep.</t>
  </si>
  <si>
    <t>EGY</t>
  </si>
  <si>
    <t>Benin</t>
  </si>
  <si>
    <t>BEN</t>
  </si>
  <si>
    <t>Afrique de l'Ouest</t>
  </si>
  <si>
    <t>Burkina Faso</t>
  </si>
  <si>
    <t>BFA</t>
  </si>
  <si>
    <t>Cabo Verde</t>
  </si>
  <si>
    <t>CPV</t>
  </si>
  <si>
    <t>Cote d'Ivoire</t>
  </si>
  <si>
    <t>CIV</t>
  </si>
  <si>
    <t>Gambia, The</t>
  </si>
  <si>
    <t>GMB</t>
  </si>
  <si>
    <t>Ghana</t>
  </si>
  <si>
    <t>GHA</t>
  </si>
  <si>
    <t>Guinea</t>
  </si>
  <si>
    <t>GIN</t>
  </si>
  <si>
    <t>Guinea-Bissau</t>
  </si>
  <si>
    <t>GNB</t>
  </si>
  <si>
    <t>Liberia</t>
  </si>
  <si>
    <t>LBR</t>
  </si>
  <si>
    <t>Mali</t>
  </si>
  <si>
    <t>MLI</t>
  </si>
  <si>
    <t>Niger</t>
  </si>
  <si>
    <t>NER</t>
  </si>
  <si>
    <t>Nigeria</t>
  </si>
  <si>
    <t>NGA</t>
  </si>
  <si>
    <t>Senegal</t>
  </si>
  <si>
    <t>SEN</t>
  </si>
  <si>
    <t>Sierra Leone</t>
  </si>
  <si>
    <t>SLE</t>
  </si>
  <si>
    <t>Togo</t>
  </si>
  <si>
    <t>TGO</t>
  </si>
  <si>
    <t>Mauritania</t>
  </si>
  <si>
    <t>MRT</t>
  </si>
  <si>
    <t>Cameroon</t>
  </si>
  <si>
    <t>CMR</t>
  </si>
  <si>
    <t>Afrique Centrale</t>
  </si>
  <si>
    <t>Central African Republic</t>
  </si>
  <si>
    <t>CAF</t>
  </si>
  <si>
    <t>Chad</t>
  </si>
  <si>
    <t>TCD</t>
  </si>
  <si>
    <t>Congo, Dem. Rep.</t>
  </si>
  <si>
    <t>COD</t>
  </si>
  <si>
    <t>Congo, Rep.</t>
  </si>
  <si>
    <t>COG</t>
  </si>
  <si>
    <t>Equatorial Guinea</t>
  </si>
  <si>
    <t>GNQ</t>
  </si>
  <si>
    <t>Gabon</t>
  </si>
  <si>
    <t>GAB</t>
  </si>
  <si>
    <t>Sao Tome and Principe</t>
  </si>
  <si>
    <t>STP</t>
  </si>
  <si>
    <t>Burundi</t>
  </si>
  <si>
    <t>BDI</t>
  </si>
  <si>
    <t>Afrique de l'Est</t>
  </si>
  <si>
    <t>Kenya</t>
  </si>
  <si>
    <t>KEN</t>
  </si>
  <si>
    <t>Rwanda</t>
  </si>
  <si>
    <t>RWA</t>
  </si>
  <si>
    <t>Tanzania</t>
  </si>
  <si>
    <t>TZA</t>
  </si>
  <si>
    <t>Uganda</t>
  </si>
  <si>
    <t>UGA</t>
  </si>
  <si>
    <t>Djibouti</t>
  </si>
  <si>
    <t>DJI</t>
  </si>
  <si>
    <t>Eritrea</t>
  </si>
  <si>
    <t>ERI</t>
  </si>
  <si>
    <t>Ethiopia</t>
  </si>
  <si>
    <t>ETH</t>
  </si>
  <si>
    <t>Somalia, Fed. Rep.</t>
  </si>
  <si>
    <t>SOM</t>
  </si>
  <si>
    <t>South Sudan</t>
  </si>
  <si>
    <t>SSD</t>
  </si>
  <si>
    <t>Sudan</t>
  </si>
  <si>
    <t>SDN</t>
  </si>
  <si>
    <t>Comoros</t>
  </si>
  <si>
    <t>COM</t>
  </si>
  <si>
    <t>Madagascar</t>
  </si>
  <si>
    <t>MDG</t>
  </si>
  <si>
    <t>Malawi</t>
  </si>
  <si>
    <t>MWI</t>
  </si>
  <si>
    <t>Mauritius</t>
  </si>
  <si>
    <t>MUS</t>
  </si>
  <si>
    <t>Seychelles</t>
  </si>
  <si>
    <t>SYC</t>
  </si>
  <si>
    <t>Mozambique</t>
  </si>
  <si>
    <t>MOZ</t>
  </si>
  <si>
    <t>Afrique Australe</t>
  </si>
  <si>
    <t>Angola</t>
  </si>
  <si>
    <t>AGO</t>
  </si>
  <si>
    <t>Botswana</t>
  </si>
  <si>
    <t>BWA</t>
  </si>
  <si>
    <t>Lesotho</t>
  </si>
  <si>
    <t>LSO</t>
  </si>
  <si>
    <t>Namibia</t>
  </si>
  <si>
    <t>NAM</t>
  </si>
  <si>
    <t>South Africa</t>
  </si>
  <si>
    <t>ZAF</t>
  </si>
  <si>
    <t>Zambia</t>
  </si>
  <si>
    <t>ZMB</t>
  </si>
  <si>
    <t>Zimbabwe</t>
  </si>
  <si>
    <t>ZWE</t>
  </si>
  <si>
    <t>Sources : Banque Mondiale (WDI), CNUCED – Période : 2000-2024 – 53 pays africains</t>
  </si>
  <si>
    <t xml:space="preserve"> IDE et Développement Économique en Afrique (2000–2024) | Source : Banque Mondiale, CNUCED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</si>
</sst>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%"/>
  </numFmts>
  <fonts count="6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i/>
      <sz val="9"/>
      <color rgb="FF595959"/>
      <name val="Arial"/>
      <family val="2"/>
    </font>
    <font>
      <b/>
      <sz val="12"/>
      <name val="Arial"/>
      <family val="2"/>
    </font>
    <font>
      <sz val="11"/>
      <name val="Calibri"/>
      <family val="2"/>
      <charset val="1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right" vertical="center"/>
    </xf>
    <xf numFmtId="164" fontId="1" fillId="0" borderId="1" xfId="0" applyNumberFormat="1" applyFont="1" applyFill="1" applyBorder="1" applyAlignment="1">
      <alignment horizontal="right" vertical="center"/>
    </xf>
    <xf numFmtId="0" fontId="3" fillId="0" borderId="0" xfId="0" applyFont="1" applyFill="1" applyAlignment="1">
      <alignment horizontal="left" vertical="center" indent="1"/>
    </xf>
    <xf numFmtId="0" fontId="4" fillId="0" borderId="0" xfId="0" applyFont="1" applyFill="1"/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683EA-25EA-4D82-A282-4682BCA6EDC7}">
  <dimension ref="A1:AD218"/>
  <sheetViews>
    <sheetView showGridLines="0" tabSelected="1"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D11" sqref="D11"/>
    </sheetView>
  </sheetViews>
  <sheetFormatPr baseColWidth="10" defaultColWidth="8.6640625" defaultRowHeight="14.4" x14ac:dyDescent="0.3"/>
  <cols>
    <col min="1" max="1" width="24" customWidth="1"/>
    <col min="2" max="2" width="7" customWidth="1"/>
    <col min="3" max="3" width="20" customWidth="1"/>
    <col min="4" max="4" width="22" customWidth="1"/>
    <col min="5" max="9" width="12" bestFit="1" customWidth="1"/>
    <col min="10" max="10" width="12.6640625" bestFit="1" customWidth="1"/>
    <col min="11" max="12" width="13" bestFit="1" customWidth="1"/>
    <col min="13" max="14" width="12" bestFit="1" customWidth="1"/>
    <col min="15" max="18" width="12.6640625" bestFit="1" customWidth="1"/>
    <col min="19" max="19" width="12" bestFit="1" customWidth="1"/>
    <col min="20" max="20" width="13" bestFit="1" customWidth="1"/>
    <col min="21" max="21" width="12" bestFit="1" customWidth="1"/>
    <col min="22" max="25" width="12.6640625" bestFit="1" customWidth="1"/>
    <col min="26" max="27" width="13" bestFit="1" customWidth="1"/>
    <col min="28" max="28" width="12.6640625" bestFit="1" customWidth="1"/>
    <col min="29" max="29" width="13" bestFit="1" customWidth="1"/>
    <col min="30" max="30" width="20.21875" customWidth="1"/>
  </cols>
  <sheetData>
    <row r="1" spans="1:30" ht="21.75" customHeight="1" x14ac:dyDescent="0.3">
      <c r="A1" s="6" t="s">
        <v>122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7"/>
    </row>
    <row r="2" spans="1:30" ht="21.75" customHeight="1" x14ac:dyDescent="0.3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7"/>
    </row>
    <row r="3" spans="1:30" ht="19.5" customHeight="1" x14ac:dyDescent="0.3">
      <c r="A3" s="8" t="s">
        <v>1</v>
      </c>
      <c r="B3" s="8" t="s">
        <v>2</v>
      </c>
      <c r="C3" s="8" t="s">
        <v>3</v>
      </c>
      <c r="D3" s="8" t="s">
        <v>4</v>
      </c>
      <c r="E3" s="9">
        <v>2000</v>
      </c>
      <c r="F3" s="9">
        <v>2001</v>
      </c>
      <c r="G3" s="9">
        <v>2002</v>
      </c>
      <c r="H3" s="9">
        <v>2003</v>
      </c>
      <c r="I3" s="9">
        <v>2004</v>
      </c>
      <c r="J3" s="9">
        <v>2005</v>
      </c>
      <c r="K3" s="9">
        <v>2006</v>
      </c>
      <c r="L3" s="9">
        <v>2007</v>
      </c>
      <c r="M3" s="9">
        <v>2008</v>
      </c>
      <c r="N3" s="9">
        <v>2009</v>
      </c>
      <c r="O3" s="9">
        <v>2010</v>
      </c>
      <c r="P3" s="9">
        <v>2011</v>
      </c>
      <c r="Q3" s="9">
        <v>2012</v>
      </c>
      <c r="R3" s="9">
        <v>2013</v>
      </c>
      <c r="S3" s="9">
        <v>2014</v>
      </c>
      <c r="T3" s="9">
        <v>2015</v>
      </c>
      <c r="U3" s="9">
        <v>2016</v>
      </c>
      <c r="V3" s="9">
        <v>2017</v>
      </c>
      <c r="W3" s="9">
        <v>2018</v>
      </c>
      <c r="X3" s="9">
        <v>2019</v>
      </c>
      <c r="Y3" s="9">
        <v>2020</v>
      </c>
      <c r="Z3" s="9">
        <v>2021</v>
      </c>
      <c r="AA3" s="9">
        <v>2022</v>
      </c>
      <c r="AB3" s="9">
        <v>2023</v>
      </c>
      <c r="AC3" s="9">
        <v>2024</v>
      </c>
      <c r="AD3" s="7"/>
    </row>
    <row r="4" spans="1:30" ht="15.75" customHeight="1" x14ac:dyDescent="0.3">
      <c r="A4" s="8"/>
      <c r="B4" s="8"/>
      <c r="C4" s="8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7"/>
    </row>
    <row r="5" spans="1:30" x14ac:dyDescent="0.3">
      <c r="A5" s="2" t="s">
        <v>5</v>
      </c>
      <c r="B5" s="3" t="s">
        <v>6</v>
      </c>
      <c r="C5" s="2" t="s">
        <v>7</v>
      </c>
      <c r="D5" s="2" t="s">
        <v>8</v>
      </c>
      <c r="E5" s="4">
        <v>280100000</v>
      </c>
      <c r="F5" s="4">
        <v>1113105540</v>
      </c>
      <c r="G5" s="4">
        <v>1064960000</v>
      </c>
      <c r="H5" s="4">
        <v>637853030</v>
      </c>
      <c r="I5" s="4">
        <v>884749030</v>
      </c>
      <c r="J5" s="4">
        <v>1155999999.9999399</v>
      </c>
      <c r="K5" s="4">
        <v>1841000000.0000701</v>
      </c>
      <c r="L5" s="4">
        <v>1686736539.70384</v>
      </c>
      <c r="M5" s="4">
        <v>2638607033.7518301</v>
      </c>
      <c r="N5" s="4">
        <v>2746930734.1653299</v>
      </c>
      <c r="O5" s="4">
        <v>2300369124.1582699</v>
      </c>
      <c r="P5" s="4">
        <v>2571237024.6851702</v>
      </c>
      <c r="Q5" s="4">
        <v>1500402452.8634901</v>
      </c>
      <c r="R5" s="4">
        <v>1691886707.5079601</v>
      </c>
      <c r="S5" s="4">
        <v>1502206170.5583799</v>
      </c>
      <c r="T5" s="4">
        <v>-537792920.92185605</v>
      </c>
      <c r="U5" s="4">
        <v>1638263953.77736</v>
      </c>
      <c r="V5" s="4">
        <v>1230243450.87888</v>
      </c>
      <c r="W5" s="4">
        <v>1466116068.0341101</v>
      </c>
      <c r="X5" s="4">
        <v>1381200049.5926399</v>
      </c>
      <c r="Y5" s="4">
        <v>1143918159.62918</v>
      </c>
      <c r="Z5" s="4">
        <v>869194073.01493502</v>
      </c>
      <c r="AA5" s="4">
        <v>241796029.580125</v>
      </c>
      <c r="AB5" s="4">
        <v>1214378660.66465</v>
      </c>
      <c r="AC5" s="4">
        <v>1226414841.3724799</v>
      </c>
      <c r="AD5" s="7" t="e">
        <f>GEOMEAN(E5:AC5)</f>
        <v>#NUM!</v>
      </c>
    </row>
    <row r="6" spans="1:30" x14ac:dyDescent="0.3">
      <c r="A6" s="2" t="s">
        <v>5</v>
      </c>
      <c r="B6" s="3" t="s">
        <v>6</v>
      </c>
      <c r="C6" s="2" t="s">
        <v>7</v>
      </c>
      <c r="D6" s="2" t="s">
        <v>9</v>
      </c>
      <c r="E6" s="4">
        <v>1772.92869122761</v>
      </c>
      <c r="F6" s="4">
        <v>1896.3002087801301</v>
      </c>
      <c r="G6" s="4">
        <v>1937.46411413019</v>
      </c>
      <c r="H6" s="4">
        <v>2283.7729934612598</v>
      </c>
      <c r="I6" s="4">
        <v>2816.9938496055502</v>
      </c>
      <c r="J6" s="4">
        <v>3233.1333963421198</v>
      </c>
      <c r="K6" s="4">
        <v>3660.6610474532199</v>
      </c>
      <c r="L6" s="4">
        <v>4167.4516993753105</v>
      </c>
      <c r="M6" s="4">
        <v>5180.9188151468597</v>
      </c>
      <c r="N6" s="4">
        <v>4235.4299045661201</v>
      </c>
      <c r="O6" s="4">
        <v>4912.78585503672</v>
      </c>
      <c r="P6" s="4">
        <v>5916.3136436434297</v>
      </c>
      <c r="Q6" s="4">
        <v>6033.6488468954303</v>
      </c>
      <c r="R6" s="4">
        <v>5979.6013896058503</v>
      </c>
      <c r="S6" s="4">
        <v>6094.6939231495599</v>
      </c>
      <c r="T6" s="4">
        <v>4685.0590272900199</v>
      </c>
      <c r="U6" s="4">
        <v>4424.9852902755601</v>
      </c>
      <c r="V6" s="4">
        <v>4554.6675395782804</v>
      </c>
      <c r="W6" s="4">
        <v>4577.2102918049104</v>
      </c>
      <c r="X6" s="4">
        <v>4468.4534188365596</v>
      </c>
      <c r="Y6" s="4">
        <v>3743.5419522929001</v>
      </c>
      <c r="Z6" s="4">
        <v>4160.5592673692499</v>
      </c>
      <c r="AA6" s="4">
        <v>4960.3033433288801</v>
      </c>
      <c r="AB6" s="4">
        <v>5370.4772350780104</v>
      </c>
      <c r="AC6" s="4">
        <v>5752.9907665146602</v>
      </c>
      <c r="AD6" s="7">
        <f t="shared" ref="AD6" si="0">GEOMEAN(E6:AC6)</f>
        <v>4027.505273072451</v>
      </c>
    </row>
    <row r="7" spans="1:30" x14ac:dyDescent="0.3">
      <c r="A7" s="2" t="s">
        <v>5</v>
      </c>
      <c r="B7" s="3" t="s">
        <v>6</v>
      </c>
      <c r="C7" s="2" t="s">
        <v>7</v>
      </c>
      <c r="D7" s="2" t="s">
        <v>10</v>
      </c>
      <c r="E7" s="5">
        <v>0.51100000000000001</v>
      </c>
      <c r="F7" s="5">
        <v>1.873</v>
      </c>
      <c r="G7" s="5">
        <v>1.7310000000000001</v>
      </c>
      <c r="H7" s="5">
        <v>0.86799999999999999</v>
      </c>
      <c r="I7" s="5">
        <v>0.96299999999999997</v>
      </c>
      <c r="J7" s="5">
        <v>1.08</v>
      </c>
      <c r="K7" s="5">
        <v>1.496</v>
      </c>
      <c r="L7" s="5">
        <v>1.1839999999999999</v>
      </c>
      <c r="M7" s="5">
        <v>1.4630000000000001</v>
      </c>
      <c r="N7" s="5">
        <v>1.827</v>
      </c>
      <c r="O7" s="5">
        <v>1.294</v>
      </c>
      <c r="P7" s="5">
        <v>1.1779999999999999</v>
      </c>
      <c r="Q7" s="5">
        <v>0.66100000000000003</v>
      </c>
      <c r="R7" s="5">
        <v>0.73699999999999999</v>
      </c>
      <c r="S7" s="5">
        <v>0.629</v>
      </c>
      <c r="T7" s="5">
        <v>-0.28699999999999998</v>
      </c>
      <c r="U7" s="5">
        <v>0.90600000000000003</v>
      </c>
      <c r="V7" s="5">
        <v>0.64800000000000002</v>
      </c>
      <c r="W7" s="5">
        <v>0.754</v>
      </c>
      <c r="X7" s="5">
        <v>0.71399999999999997</v>
      </c>
      <c r="Y7" s="5">
        <v>0.69399999999999995</v>
      </c>
      <c r="Z7" s="5">
        <v>0.46700000000000003</v>
      </c>
      <c r="AA7" s="5">
        <v>0.107</v>
      </c>
      <c r="AB7" s="5">
        <v>0.49</v>
      </c>
      <c r="AC7" s="5">
        <v>0.45500000000000002</v>
      </c>
      <c r="AD7" s="7"/>
    </row>
    <row r="8" spans="1:30" x14ac:dyDescent="0.3">
      <c r="A8" s="2" t="s">
        <v>5</v>
      </c>
      <c r="B8" s="3" t="s">
        <v>6</v>
      </c>
      <c r="C8" s="2" t="s">
        <v>7</v>
      </c>
      <c r="D8" s="2" t="s">
        <v>11</v>
      </c>
      <c r="E8" s="5">
        <v>3.8000000015847601</v>
      </c>
      <c r="F8" s="5">
        <v>2.9999999986304302</v>
      </c>
      <c r="G8" s="5">
        <v>5.4000000000000101</v>
      </c>
      <c r="H8" s="5">
        <v>6.5000000006204299</v>
      </c>
      <c r="I8" s="5">
        <v>4.4999999997669899</v>
      </c>
      <c r="J8" s="5">
        <v>5.3999999996952504</v>
      </c>
      <c r="K8" s="5">
        <v>2.8999999990585201</v>
      </c>
      <c r="L8" s="5">
        <v>3.1000000012867499</v>
      </c>
      <c r="M8" s="5">
        <v>2.4999999992937099</v>
      </c>
      <c r="N8" s="5">
        <v>1.19999999969519</v>
      </c>
      <c r="O8" s="5">
        <v>4.8000000009356398</v>
      </c>
      <c r="P8" s="5">
        <v>2.99999999941909</v>
      </c>
      <c r="Q8" s="5">
        <v>2.40000000034432</v>
      </c>
      <c r="R8" s="5">
        <v>2.6000000006116402</v>
      </c>
      <c r="S8" s="5">
        <v>4.0999999986650097</v>
      </c>
      <c r="T8" s="5">
        <v>3.2000000008902298</v>
      </c>
      <c r="U8" s="5">
        <v>3.9000000001762101</v>
      </c>
      <c r="V8" s="5">
        <v>1.4999999989558701</v>
      </c>
      <c r="W8" s="5">
        <v>1.40000000088281</v>
      </c>
      <c r="X8" s="5">
        <v>0.89999999921914797</v>
      </c>
      <c r="Y8" s="5">
        <v>-4.9999999990859703</v>
      </c>
      <c r="Z8" s="5">
        <v>3.7999999990070701</v>
      </c>
      <c r="AA8" s="5">
        <v>3.6000000009491502</v>
      </c>
      <c r="AB8" s="5">
        <v>4.1000000000596399</v>
      </c>
      <c r="AC8" s="5">
        <v>3.69999999907979</v>
      </c>
      <c r="AD8" s="7"/>
    </row>
    <row r="9" spans="1:30" x14ac:dyDescent="0.3">
      <c r="A9" s="2" t="s">
        <v>12</v>
      </c>
      <c r="B9" s="3" t="s">
        <v>13</v>
      </c>
      <c r="C9" s="2" t="s">
        <v>7</v>
      </c>
      <c r="D9" s="2" t="s">
        <v>8</v>
      </c>
      <c r="E9" s="4">
        <v>141000000</v>
      </c>
      <c r="F9" s="4">
        <v>-133000000</v>
      </c>
      <c r="G9" s="4">
        <v>145000000</v>
      </c>
      <c r="H9" s="4">
        <v>143000000</v>
      </c>
      <c r="I9" s="4">
        <v>357000000</v>
      </c>
      <c r="J9" s="4">
        <v>1038000000</v>
      </c>
      <c r="K9" s="4">
        <v>2064000000</v>
      </c>
      <c r="L9" s="4">
        <v>4689000000</v>
      </c>
      <c r="M9" s="4">
        <v>4111300000</v>
      </c>
      <c r="N9" s="4">
        <v>1371000000</v>
      </c>
      <c r="O9" s="4">
        <v>1784000000</v>
      </c>
      <c r="P9" s="10" t="s">
        <v>14</v>
      </c>
      <c r="Q9" s="4">
        <v>1425000000</v>
      </c>
      <c r="R9" s="4">
        <v>702000000</v>
      </c>
      <c r="S9" s="10" t="s">
        <v>14</v>
      </c>
      <c r="T9" s="10" t="s">
        <v>14</v>
      </c>
      <c r="U9" s="10" t="s">
        <v>14</v>
      </c>
      <c r="V9" s="10" t="s">
        <v>14</v>
      </c>
      <c r="W9" s="10" t="s">
        <v>14</v>
      </c>
      <c r="X9" s="10" t="s">
        <v>14</v>
      </c>
      <c r="Y9" s="10" t="s">
        <v>14</v>
      </c>
      <c r="Z9" s="4">
        <v>603000000</v>
      </c>
      <c r="AA9" s="4">
        <v>702000000</v>
      </c>
      <c r="AB9" s="4">
        <v>794700000</v>
      </c>
      <c r="AC9" s="10" t="s">
        <v>14</v>
      </c>
      <c r="AD9" s="7"/>
    </row>
    <row r="10" spans="1:30" x14ac:dyDescent="0.3">
      <c r="A10" s="2" t="s">
        <v>12</v>
      </c>
      <c r="B10" s="3" t="s">
        <v>13</v>
      </c>
      <c r="C10" s="2" t="s">
        <v>7</v>
      </c>
      <c r="D10" s="2" t="s">
        <v>9</v>
      </c>
      <c r="E10" s="4">
        <v>7214.1004037708399</v>
      </c>
      <c r="F10" s="4">
        <v>6312.8003049896497</v>
      </c>
      <c r="G10" s="4">
        <v>3718.2943469675502</v>
      </c>
      <c r="H10" s="4">
        <v>4674.0994320032096</v>
      </c>
      <c r="I10" s="4">
        <v>5773.7633323428099</v>
      </c>
      <c r="J10" s="4">
        <v>8079.2495732900097</v>
      </c>
      <c r="K10" s="4">
        <v>10048.848043428899</v>
      </c>
      <c r="L10" s="4">
        <v>11144.9448413435</v>
      </c>
      <c r="M10" s="4">
        <v>13906.140781812501</v>
      </c>
      <c r="N10" s="4">
        <v>9551.0540386975499</v>
      </c>
      <c r="O10" s="4">
        <v>11600.906864947199</v>
      </c>
      <c r="P10" s="4">
        <v>7593.8391525702</v>
      </c>
      <c r="Q10" s="4">
        <v>14975.8902795145</v>
      </c>
      <c r="R10" s="4">
        <v>11951.713412601101</v>
      </c>
      <c r="S10" s="4">
        <v>8926.4207459147401</v>
      </c>
      <c r="T10" s="4">
        <v>7458.4891775637398</v>
      </c>
      <c r="U10" s="4">
        <v>7525.8029930821604</v>
      </c>
      <c r="V10" s="4">
        <v>9965.8323672975694</v>
      </c>
      <c r="W10" s="4">
        <v>11196.585481084399</v>
      </c>
      <c r="X10" s="4">
        <v>9963.1948908448303</v>
      </c>
      <c r="Y10" s="4">
        <v>6650.3381058534796</v>
      </c>
      <c r="Z10" s="4">
        <v>4935.8278734980204</v>
      </c>
      <c r="AA10" s="4">
        <v>5986.6369485125797</v>
      </c>
      <c r="AB10" s="4">
        <v>6026.51518708812</v>
      </c>
      <c r="AC10" s="4">
        <v>6569.1640867864799</v>
      </c>
      <c r="AD10" s="7"/>
    </row>
    <row r="11" spans="1:30" x14ac:dyDescent="0.3">
      <c r="A11" s="2" t="s">
        <v>12</v>
      </c>
      <c r="B11" s="3" t="s">
        <v>13</v>
      </c>
      <c r="C11" s="2" t="s">
        <v>7</v>
      </c>
      <c r="D11" s="2" t="s">
        <v>10</v>
      </c>
      <c r="E11" s="5">
        <v>0.36799999999999999</v>
      </c>
      <c r="F11" s="5">
        <v>-0.39</v>
      </c>
      <c r="G11" s="5">
        <v>0.70799999999999996</v>
      </c>
      <c r="H11" s="5">
        <v>0.54400000000000004</v>
      </c>
      <c r="I11" s="5">
        <v>1.0780000000000001</v>
      </c>
      <c r="J11" s="5">
        <v>2.1930000000000001</v>
      </c>
      <c r="K11" s="5">
        <v>3.4350000000000001</v>
      </c>
      <c r="L11" s="5">
        <v>6.8920000000000003</v>
      </c>
      <c r="M11" s="5">
        <v>4.7409999999999997</v>
      </c>
      <c r="N11" s="5">
        <v>2.2549999999999999</v>
      </c>
      <c r="O11" s="5">
        <v>2.367</v>
      </c>
      <c r="P11" s="10" t="s">
        <v>14</v>
      </c>
      <c r="Q11" s="5">
        <v>1.54</v>
      </c>
      <c r="R11" s="5">
        <v>0.93200000000000005</v>
      </c>
      <c r="S11" s="10" t="s">
        <v>14</v>
      </c>
      <c r="T11" s="10" t="s">
        <v>14</v>
      </c>
      <c r="U11" s="10" t="s">
        <v>14</v>
      </c>
      <c r="V11" s="10" t="s">
        <v>14</v>
      </c>
      <c r="W11" s="10" t="s">
        <v>14</v>
      </c>
      <c r="X11" s="10" t="s">
        <v>14</v>
      </c>
      <c r="Y11" s="10" t="s">
        <v>14</v>
      </c>
      <c r="Z11" s="5">
        <v>1.712</v>
      </c>
      <c r="AA11" s="5">
        <v>1.623</v>
      </c>
      <c r="AB11" s="5">
        <v>1.8049999999999999</v>
      </c>
      <c r="AC11" s="10" t="s">
        <v>14</v>
      </c>
      <c r="AD11" s="7"/>
    </row>
    <row r="12" spans="1:30" x14ac:dyDescent="0.3">
      <c r="A12" s="2" t="s">
        <v>12</v>
      </c>
      <c r="B12" s="3" t="s">
        <v>13</v>
      </c>
      <c r="C12" s="2" t="s">
        <v>7</v>
      </c>
      <c r="D12" s="2" t="s">
        <v>11</v>
      </c>
      <c r="E12" s="5">
        <v>3.6792704081999998</v>
      </c>
      <c r="F12" s="5">
        <v>-1.7628388706260301</v>
      </c>
      <c r="G12" s="5">
        <v>-0.95889733284963097</v>
      </c>
      <c r="H12" s="5">
        <v>13.0160372478013</v>
      </c>
      <c r="I12" s="5">
        <v>4.4616389964863696</v>
      </c>
      <c r="J12" s="5">
        <v>11.8707565226151</v>
      </c>
      <c r="K12" s="5">
        <v>6.5005254195927904</v>
      </c>
      <c r="L12" s="5">
        <v>6.2299827856183798</v>
      </c>
      <c r="M12" s="5">
        <v>-0.162048238799883</v>
      </c>
      <c r="N12" s="5">
        <v>-4.4001817631020996</v>
      </c>
      <c r="O12" s="5">
        <v>5.0272476723775004</v>
      </c>
      <c r="P12" s="5">
        <v>-50.3385151384986</v>
      </c>
      <c r="Q12" s="5">
        <v>86.826748439578395</v>
      </c>
      <c r="R12" s="5">
        <v>-17.997961574568102</v>
      </c>
      <c r="S12" s="5">
        <v>-23.0428058282215</v>
      </c>
      <c r="T12" s="5">
        <v>-0.84265625211884299</v>
      </c>
      <c r="U12" s="5">
        <v>-1.4909411172622</v>
      </c>
      <c r="V12" s="5">
        <v>32.491802186268799</v>
      </c>
      <c r="W12" s="5">
        <v>7.9413678529103997</v>
      </c>
      <c r="X12" s="5">
        <v>-11.196082885338599</v>
      </c>
      <c r="Y12" s="5">
        <v>-29.455296728282399</v>
      </c>
      <c r="Z12" s="5">
        <v>28.2996823429147</v>
      </c>
      <c r="AA12" s="5">
        <v>-8.2998181119879497</v>
      </c>
      <c r="AB12" s="5">
        <v>10.2000497852517</v>
      </c>
      <c r="AC12" s="5">
        <v>1.89995052025442</v>
      </c>
      <c r="AD12" s="7"/>
    </row>
    <row r="13" spans="1:30" x14ac:dyDescent="0.3">
      <c r="A13" s="2" t="s">
        <v>15</v>
      </c>
      <c r="B13" s="3" t="s">
        <v>16</v>
      </c>
      <c r="C13" s="2" t="s">
        <v>7</v>
      </c>
      <c r="D13" s="2" t="s">
        <v>8</v>
      </c>
      <c r="E13" s="4">
        <v>426553283.86063403</v>
      </c>
      <c r="F13" s="4">
        <v>2824557251.5200601</v>
      </c>
      <c r="G13" s="4">
        <v>480355698.04986203</v>
      </c>
      <c r="H13" s="4">
        <v>2312829823.2508898</v>
      </c>
      <c r="I13" s="4">
        <v>893325392.83582401</v>
      </c>
      <c r="J13" s="4">
        <v>1670609688.9287701</v>
      </c>
      <c r="K13" s="4">
        <v>2460787164.1843901</v>
      </c>
      <c r="L13" s="4">
        <v>2825801376.44064</v>
      </c>
      <c r="M13" s="4">
        <v>2466288357.3723302</v>
      </c>
      <c r="N13" s="4">
        <v>1970323920.0134599</v>
      </c>
      <c r="O13" s="4">
        <v>1240625859.1140299</v>
      </c>
      <c r="P13" s="4">
        <v>2521362080.6555901</v>
      </c>
      <c r="Q13" s="4">
        <v>2841954371.3845401</v>
      </c>
      <c r="R13" s="4">
        <v>3360909924.3642101</v>
      </c>
      <c r="S13" s="4">
        <v>3525384612.4380102</v>
      </c>
      <c r="T13" s="4">
        <v>3252913902.3566599</v>
      </c>
      <c r="U13" s="4">
        <v>2153363904.9351501</v>
      </c>
      <c r="V13" s="4">
        <v>2680109856.2123599</v>
      </c>
      <c r="W13" s="4">
        <v>3544387229.2782102</v>
      </c>
      <c r="X13" s="4">
        <v>1720825003.13095</v>
      </c>
      <c r="Y13" s="4">
        <v>1418713118.6115301</v>
      </c>
      <c r="Z13" s="4">
        <v>2264148625.4106998</v>
      </c>
      <c r="AA13" s="4">
        <v>2294356059.1733298</v>
      </c>
      <c r="AB13" s="4">
        <v>1060023610.0797</v>
      </c>
      <c r="AC13" s="4">
        <v>1638999697.2414401</v>
      </c>
      <c r="AD13" s="7"/>
    </row>
    <row r="14" spans="1:30" x14ac:dyDescent="0.3">
      <c r="A14" s="2" t="s">
        <v>15</v>
      </c>
      <c r="B14" s="3" t="s">
        <v>16</v>
      </c>
      <c r="C14" s="2" t="s">
        <v>7</v>
      </c>
      <c r="D14" s="2" t="s">
        <v>9</v>
      </c>
      <c r="E14" s="4">
        <v>1499.107421875</v>
      </c>
      <c r="F14" s="4">
        <v>1506.24523925781</v>
      </c>
      <c r="G14" s="4">
        <v>1596.02062988281</v>
      </c>
      <c r="H14" s="4">
        <v>1941.87255859375</v>
      </c>
      <c r="I14" s="4">
        <v>2183.55541992188</v>
      </c>
      <c r="J14" s="4">
        <v>2242.98828125</v>
      </c>
      <c r="K14" s="4">
        <v>2438.12646484375</v>
      </c>
      <c r="L14" s="4">
        <v>2755.5859375</v>
      </c>
      <c r="M14" s="4">
        <v>3183.20043945313</v>
      </c>
      <c r="N14" s="4">
        <v>3119.58862304688</v>
      </c>
      <c r="O14" s="4">
        <v>3067.9853515625</v>
      </c>
      <c r="P14" s="4">
        <v>3301.98876953125</v>
      </c>
      <c r="Q14" s="4">
        <v>3164.17724609375</v>
      </c>
      <c r="R14" s="4">
        <v>3379.7431640625</v>
      </c>
      <c r="S14" s="4">
        <v>3435.40698242188</v>
      </c>
      <c r="T14" s="4">
        <v>3146.24780273438</v>
      </c>
      <c r="U14" s="4">
        <v>3140.85546875</v>
      </c>
      <c r="V14" s="4">
        <v>3296.52661132813</v>
      </c>
      <c r="W14" s="4">
        <v>3501.69799804688</v>
      </c>
      <c r="X14" s="4">
        <v>3508.09765625</v>
      </c>
      <c r="Y14" s="4">
        <v>3268.0302734375</v>
      </c>
      <c r="Z14" s="4">
        <v>3785.93627929688</v>
      </c>
      <c r="AA14" s="4">
        <v>3463.1376953125</v>
      </c>
      <c r="AB14" s="4">
        <v>3813.72607421875</v>
      </c>
      <c r="AC14" s="4">
        <v>4153.1943359375</v>
      </c>
      <c r="AD14" s="7"/>
    </row>
    <row r="15" spans="1:30" x14ac:dyDescent="0.3">
      <c r="A15" s="2" t="s">
        <v>15</v>
      </c>
      <c r="B15" s="3" t="s">
        <v>16</v>
      </c>
      <c r="C15" s="2" t="s">
        <v>7</v>
      </c>
      <c r="D15" s="2" t="s">
        <v>10</v>
      </c>
      <c r="E15" s="5">
        <v>0.99199999999999999</v>
      </c>
      <c r="F15" s="5">
        <v>6.444</v>
      </c>
      <c r="G15" s="5">
        <v>1.02</v>
      </c>
      <c r="H15" s="5">
        <v>3.9860000000000002</v>
      </c>
      <c r="I15" s="5">
        <v>1.351</v>
      </c>
      <c r="J15" s="5">
        <v>2.4260000000000002</v>
      </c>
      <c r="K15" s="5">
        <v>3.2429999999999999</v>
      </c>
      <c r="L15" s="5">
        <v>3.25</v>
      </c>
      <c r="M15" s="5">
        <v>2.4220000000000002</v>
      </c>
      <c r="N15" s="5">
        <v>1.948</v>
      </c>
      <c r="O15" s="5">
        <v>1.23</v>
      </c>
      <c r="P15" s="5">
        <v>2.29</v>
      </c>
      <c r="Q15" s="5">
        <v>2.6579999999999999</v>
      </c>
      <c r="R15" s="5">
        <v>2.9039999999999999</v>
      </c>
      <c r="S15" s="5">
        <v>2.9590000000000001</v>
      </c>
      <c r="T15" s="5">
        <v>2.9460000000000002</v>
      </c>
      <c r="U15" s="5">
        <v>1.93</v>
      </c>
      <c r="V15" s="5">
        <v>2.2610000000000001</v>
      </c>
      <c r="W15" s="5">
        <v>2.7829999999999999</v>
      </c>
      <c r="X15" s="5">
        <v>1.335</v>
      </c>
      <c r="Y15" s="5">
        <v>1.169</v>
      </c>
      <c r="Z15" s="5">
        <v>1.5940000000000001</v>
      </c>
      <c r="AA15" s="5">
        <v>1.748</v>
      </c>
      <c r="AB15" s="5">
        <v>0.72599999999999998</v>
      </c>
      <c r="AC15" s="5">
        <v>1.02</v>
      </c>
      <c r="AD15" s="7"/>
    </row>
    <row r="16" spans="1:30" x14ac:dyDescent="0.3">
      <c r="A16" s="2" t="s">
        <v>15</v>
      </c>
      <c r="B16" s="3" t="s">
        <v>16</v>
      </c>
      <c r="C16" s="2" t="s">
        <v>7</v>
      </c>
      <c r="D16" s="2" t="s">
        <v>11</v>
      </c>
      <c r="E16" s="5">
        <v>2.5821809149974699</v>
      </c>
      <c r="F16" s="5">
        <v>7.7218251957772903</v>
      </c>
      <c r="G16" s="5">
        <v>3.73019737485745</v>
      </c>
      <c r="H16" s="5">
        <v>6.1711021495324498</v>
      </c>
      <c r="I16" s="5">
        <v>4.57138016516208</v>
      </c>
      <c r="J16" s="5">
        <v>3.1922497301583102</v>
      </c>
      <c r="K16" s="5">
        <v>7.7908200104027001</v>
      </c>
      <c r="L16" s="5">
        <v>3.44106776690418</v>
      </c>
      <c r="M16" s="5">
        <v>5.6845393628473202</v>
      </c>
      <c r="N16" s="5">
        <v>3.7457694013625802</v>
      </c>
      <c r="O16" s="5">
        <v>3.4995570940321601</v>
      </c>
      <c r="P16" s="5">
        <v>5.5246452331984699</v>
      </c>
      <c r="Q16" s="5">
        <v>3.0623436850299699</v>
      </c>
      <c r="R16" s="5">
        <v>4.1222128686094397</v>
      </c>
      <c r="S16" s="5">
        <v>2.7192440802029001</v>
      </c>
      <c r="T16" s="5">
        <v>4.34458297635239</v>
      </c>
      <c r="U16" s="5">
        <v>0.52118550608967995</v>
      </c>
      <c r="V16" s="5">
        <v>5.0578981617344603</v>
      </c>
      <c r="W16" s="5">
        <v>3.0656413302595502</v>
      </c>
      <c r="X16" s="5">
        <v>2.8909747613707699</v>
      </c>
      <c r="Y16" s="5">
        <v>-7.1782074424677402</v>
      </c>
      <c r="Z16" s="5">
        <v>8.1547388982368201</v>
      </c>
      <c r="AA16" s="5">
        <v>1.81269242194809</v>
      </c>
      <c r="AB16" s="5">
        <v>3.6556441101793098</v>
      </c>
      <c r="AC16" s="5">
        <v>3.7933651597896301</v>
      </c>
      <c r="AD16" s="7"/>
    </row>
    <row r="17" spans="1:30" x14ac:dyDescent="0.3">
      <c r="A17" s="2" t="s">
        <v>17</v>
      </c>
      <c r="B17" s="3" t="s">
        <v>18</v>
      </c>
      <c r="C17" s="2" t="s">
        <v>7</v>
      </c>
      <c r="D17" s="2" t="s">
        <v>8</v>
      </c>
      <c r="E17" s="4">
        <v>750720443.57437396</v>
      </c>
      <c r="F17" s="4">
        <v>451514809.24785101</v>
      </c>
      <c r="G17" s="4">
        <v>790302916.62759197</v>
      </c>
      <c r="H17" s="4">
        <v>539481939.009799</v>
      </c>
      <c r="I17" s="4">
        <v>592147521.67861903</v>
      </c>
      <c r="J17" s="4">
        <v>712714847.26254499</v>
      </c>
      <c r="K17" s="4">
        <v>3239909092.61659</v>
      </c>
      <c r="L17" s="4">
        <v>1515345043.99628</v>
      </c>
      <c r="M17" s="4">
        <v>2600674976.49755</v>
      </c>
      <c r="N17" s="4">
        <v>1525244857.5290201</v>
      </c>
      <c r="O17" s="4">
        <v>1334497694.56476</v>
      </c>
      <c r="P17" s="4">
        <v>432666011.57848698</v>
      </c>
      <c r="Q17" s="4">
        <v>1554269128.7808001</v>
      </c>
      <c r="R17" s="4">
        <v>1058622582.1839401</v>
      </c>
      <c r="S17" s="4">
        <v>1024754443.57724</v>
      </c>
      <c r="T17" s="4">
        <v>970521888.74020195</v>
      </c>
      <c r="U17" s="4">
        <v>622569482.16197801</v>
      </c>
      <c r="V17" s="4">
        <v>810936482.84199703</v>
      </c>
      <c r="W17" s="4">
        <v>991385678.11421895</v>
      </c>
      <c r="X17" s="4">
        <v>815012991.37201703</v>
      </c>
      <c r="Y17" s="4">
        <v>623075275.92185199</v>
      </c>
      <c r="Z17" s="4">
        <v>547411353.64491498</v>
      </c>
      <c r="AA17" s="4">
        <v>643213141.17868996</v>
      </c>
      <c r="AB17" s="4">
        <v>705491409.55927205</v>
      </c>
      <c r="AC17" s="4">
        <v>759601641.19867396</v>
      </c>
      <c r="AD17" s="7"/>
    </row>
    <row r="18" spans="1:30" x14ac:dyDescent="0.3">
      <c r="A18" s="2" t="s">
        <v>17</v>
      </c>
      <c r="B18" s="3" t="s">
        <v>18</v>
      </c>
      <c r="C18" s="2" t="s">
        <v>7</v>
      </c>
      <c r="D18" s="2" t="s">
        <v>9</v>
      </c>
      <c r="E18" s="4">
        <v>2199.04465936314</v>
      </c>
      <c r="F18" s="4">
        <v>2235.7198162475102</v>
      </c>
      <c r="G18" s="4">
        <v>2320.7723805784999</v>
      </c>
      <c r="H18" s="4">
        <v>2725.8643148859001</v>
      </c>
      <c r="I18" s="4">
        <v>3067.4193637697499</v>
      </c>
      <c r="J18" s="4">
        <v>3146.8260743926999</v>
      </c>
      <c r="K18" s="4">
        <v>3322.56933570096</v>
      </c>
      <c r="L18" s="4">
        <v>3726.9167293566702</v>
      </c>
      <c r="M18" s="4">
        <v>4255.0500801952303</v>
      </c>
      <c r="N18" s="4">
        <v>4080.09032448781</v>
      </c>
      <c r="O18" s="4">
        <v>4291.8612089157496</v>
      </c>
      <c r="P18" s="4">
        <v>4420.6477220653696</v>
      </c>
      <c r="Q18" s="4">
        <v>4297.2678245427296</v>
      </c>
      <c r="R18" s="4">
        <v>4369.7934582635799</v>
      </c>
      <c r="S18" s="4">
        <v>4458.9789546454704</v>
      </c>
      <c r="T18" s="4">
        <v>4014.9477368643202</v>
      </c>
      <c r="U18" s="4">
        <v>3847.8035444880902</v>
      </c>
      <c r="V18" s="4">
        <v>3619.0324731995302</v>
      </c>
      <c r="W18" s="4">
        <v>3628.1036646423599</v>
      </c>
      <c r="X18" s="4">
        <v>3528.87213306798</v>
      </c>
      <c r="Y18" s="4">
        <v>3548.6536366380301</v>
      </c>
      <c r="Z18" s="4">
        <v>3906.9392631939099</v>
      </c>
      <c r="AA18" s="4">
        <v>3707.2928341438101</v>
      </c>
      <c r="AB18" s="4">
        <v>3951.1168337692202</v>
      </c>
      <c r="AC18" s="4">
        <v>4181.1378930122901</v>
      </c>
      <c r="AD18" s="7"/>
    </row>
    <row r="19" spans="1:30" x14ac:dyDescent="0.3">
      <c r="A19" s="2" t="s">
        <v>17</v>
      </c>
      <c r="B19" s="3" t="s">
        <v>18</v>
      </c>
      <c r="C19" s="2" t="s">
        <v>7</v>
      </c>
      <c r="D19" s="2" t="s">
        <v>10</v>
      </c>
      <c r="E19" s="5">
        <v>3.496</v>
      </c>
      <c r="F19" s="5">
        <v>2.0459999999999998</v>
      </c>
      <c r="G19" s="5">
        <v>3.415</v>
      </c>
      <c r="H19" s="5">
        <v>1.9650000000000001</v>
      </c>
      <c r="I19" s="5">
        <v>1.899</v>
      </c>
      <c r="J19" s="5">
        <v>2.2080000000000002</v>
      </c>
      <c r="K19" s="5">
        <v>9.4250000000000007</v>
      </c>
      <c r="L19" s="5">
        <v>3.8940000000000001</v>
      </c>
      <c r="M19" s="5">
        <v>5.7969999999999997</v>
      </c>
      <c r="N19" s="5">
        <v>3.51</v>
      </c>
      <c r="O19" s="5">
        <v>2.8879999999999999</v>
      </c>
      <c r="P19" s="5">
        <v>0.89900000000000002</v>
      </c>
      <c r="Q19" s="5">
        <v>3.2850000000000001</v>
      </c>
      <c r="R19" s="5">
        <v>2.1739999999999999</v>
      </c>
      <c r="S19" s="5">
        <v>2.0379999999999998</v>
      </c>
      <c r="T19" s="5">
        <v>2.12</v>
      </c>
      <c r="U19" s="5">
        <v>1.403</v>
      </c>
      <c r="V19" s="5">
        <v>1.923</v>
      </c>
      <c r="W19" s="5">
        <v>2.3220000000000001</v>
      </c>
      <c r="X19" s="5">
        <v>1.9450000000000001</v>
      </c>
      <c r="Y19" s="5">
        <v>1.466</v>
      </c>
      <c r="Z19" s="5">
        <v>1.163</v>
      </c>
      <c r="AA19" s="5">
        <v>1.4319999999999999</v>
      </c>
      <c r="AB19" s="5">
        <v>1.464</v>
      </c>
      <c r="AC19" s="5">
        <v>1.48</v>
      </c>
      <c r="AD19" s="7"/>
    </row>
    <row r="20" spans="1:30" x14ac:dyDescent="0.3">
      <c r="A20" s="2" t="s">
        <v>17</v>
      </c>
      <c r="B20" s="3" t="s">
        <v>18</v>
      </c>
      <c r="C20" s="2" t="s">
        <v>7</v>
      </c>
      <c r="D20" s="2" t="s">
        <v>11</v>
      </c>
      <c r="E20" s="5">
        <v>4.7099729138048998</v>
      </c>
      <c r="F20" s="5">
        <v>3.79627166202512</v>
      </c>
      <c r="G20" s="5">
        <v>1.32255714828946</v>
      </c>
      <c r="H20" s="5">
        <v>4.70239953285241</v>
      </c>
      <c r="I20" s="5">
        <v>6.2357907222264704</v>
      </c>
      <c r="J20" s="5">
        <v>3.4865455430439001</v>
      </c>
      <c r="K20" s="5">
        <v>5.2440998324691597</v>
      </c>
      <c r="L20" s="5">
        <v>6.7095209745355398</v>
      </c>
      <c r="M20" s="5">
        <v>4.2377814750281901</v>
      </c>
      <c r="N20" s="5">
        <v>3.04345012371552</v>
      </c>
      <c r="O20" s="5">
        <v>2.9711327506651202</v>
      </c>
      <c r="P20" s="5">
        <v>-2.04663389535644</v>
      </c>
      <c r="Q20" s="5">
        <v>4.2166771153563198</v>
      </c>
      <c r="R20" s="5">
        <v>2.4299309644642899</v>
      </c>
      <c r="S20" s="5">
        <v>3.0903280307077501</v>
      </c>
      <c r="T20" s="5">
        <v>0.96783420563598099</v>
      </c>
      <c r="U20" s="5">
        <v>1.1172319639920001</v>
      </c>
      <c r="V20" s="5">
        <v>2.2526143762058699</v>
      </c>
      <c r="W20" s="5">
        <v>2.60696965356362</v>
      </c>
      <c r="X20" s="5">
        <v>1.5500930496674199</v>
      </c>
      <c r="Y20" s="5">
        <v>-8.9751262293472305</v>
      </c>
      <c r="Z20" s="5">
        <v>4.7360364820610199</v>
      </c>
      <c r="AA20" s="5">
        <v>2.7522876100438101</v>
      </c>
      <c r="AB20" s="5">
        <v>0.18401554846974499</v>
      </c>
      <c r="AC20" s="5">
        <v>1.61444564976986</v>
      </c>
      <c r="AD20" s="7"/>
    </row>
    <row r="21" spans="1:30" x14ac:dyDescent="0.3">
      <c r="A21" s="2" t="s">
        <v>19</v>
      </c>
      <c r="B21" s="3" t="s">
        <v>20</v>
      </c>
      <c r="C21" s="2" t="s">
        <v>7</v>
      </c>
      <c r="D21" s="2" t="s">
        <v>8</v>
      </c>
      <c r="E21" s="4">
        <v>1235000000</v>
      </c>
      <c r="F21" s="4">
        <v>509900000</v>
      </c>
      <c r="G21" s="4">
        <v>646900000</v>
      </c>
      <c r="H21" s="4">
        <v>237400000</v>
      </c>
      <c r="I21" s="4">
        <v>1253300000</v>
      </c>
      <c r="J21" s="4">
        <v>5375600000</v>
      </c>
      <c r="K21" s="4">
        <v>10042800000</v>
      </c>
      <c r="L21" s="4">
        <v>11578100000</v>
      </c>
      <c r="M21" s="4">
        <v>9494600000</v>
      </c>
      <c r="N21" s="4">
        <v>6711600000</v>
      </c>
      <c r="O21" s="4">
        <v>6385600000</v>
      </c>
      <c r="P21" s="4">
        <v>-482700000</v>
      </c>
      <c r="Q21" s="4">
        <v>2797700000</v>
      </c>
      <c r="R21" s="4">
        <v>4192200000</v>
      </c>
      <c r="S21" s="4">
        <v>4612200000</v>
      </c>
      <c r="T21" s="4">
        <v>6925200000</v>
      </c>
      <c r="U21" s="4">
        <v>8106800000</v>
      </c>
      <c r="V21" s="4">
        <v>7408700000</v>
      </c>
      <c r="W21" s="4">
        <v>8141300000</v>
      </c>
      <c r="X21" s="4">
        <v>9010100000</v>
      </c>
      <c r="Y21" s="4">
        <v>5851800000</v>
      </c>
      <c r="Z21" s="4">
        <v>5122300000</v>
      </c>
      <c r="AA21" s="4">
        <v>11399900000</v>
      </c>
      <c r="AB21" s="4">
        <v>9840600000</v>
      </c>
      <c r="AC21" s="4">
        <v>46578000000</v>
      </c>
      <c r="AD21" s="7"/>
    </row>
    <row r="22" spans="1:30" x14ac:dyDescent="0.3">
      <c r="A22" s="2" t="s">
        <v>19</v>
      </c>
      <c r="B22" s="3" t="s">
        <v>20</v>
      </c>
      <c r="C22" s="2" t="s">
        <v>7</v>
      </c>
      <c r="D22" s="2" t="s">
        <v>9</v>
      </c>
      <c r="E22" s="4">
        <v>1366.09274372614</v>
      </c>
      <c r="F22" s="4">
        <v>1295.1374184163001</v>
      </c>
      <c r="G22" s="4">
        <v>1116.8288462621299</v>
      </c>
      <c r="H22" s="4">
        <v>1031.2755629128401</v>
      </c>
      <c r="I22" s="4">
        <v>991.25568914525297</v>
      </c>
      <c r="J22" s="4">
        <v>1105.5392071390299</v>
      </c>
      <c r="K22" s="4">
        <v>1298.97900203125</v>
      </c>
      <c r="L22" s="4">
        <v>1547.74170735909</v>
      </c>
      <c r="M22" s="4">
        <v>1896.2159426977901</v>
      </c>
      <c r="N22" s="4">
        <v>2161.6396457392698</v>
      </c>
      <c r="O22" s="4">
        <v>2455.0819464528199</v>
      </c>
      <c r="P22" s="4">
        <v>2590.6438489196498</v>
      </c>
      <c r="Q22" s="4">
        <v>2996.0677072015001</v>
      </c>
      <c r="R22" s="4">
        <v>3025.5256355244801</v>
      </c>
      <c r="S22" s="4">
        <v>3133.3910226554099</v>
      </c>
      <c r="T22" s="4">
        <v>3306.9815941414099</v>
      </c>
      <c r="U22" s="4">
        <v>3270.6287768196999</v>
      </c>
      <c r="V22" s="4">
        <v>2395.10333299491</v>
      </c>
      <c r="W22" s="4">
        <v>2484.70315630508</v>
      </c>
      <c r="X22" s="4">
        <v>2962.9889202300301</v>
      </c>
      <c r="Y22" s="4">
        <v>3511.1138102638001</v>
      </c>
      <c r="Z22" s="4">
        <v>3827.3541537430801</v>
      </c>
      <c r="AA22" s="4">
        <v>4233.3078374485603</v>
      </c>
      <c r="AB22" s="4">
        <v>3456.7896845625301</v>
      </c>
      <c r="AC22" s="4">
        <v>3338.4737139589502</v>
      </c>
      <c r="AD22" s="7"/>
    </row>
    <row r="23" spans="1:30" x14ac:dyDescent="0.3">
      <c r="A23" s="2" t="s">
        <v>19</v>
      </c>
      <c r="B23" s="3" t="s">
        <v>20</v>
      </c>
      <c r="C23" s="2" t="s">
        <v>7</v>
      </c>
      <c r="D23" s="2" t="s">
        <v>10</v>
      </c>
      <c r="E23" s="5">
        <v>1.2370000000000001</v>
      </c>
      <c r="F23" s="5">
        <v>0.52700000000000002</v>
      </c>
      <c r="G23" s="5">
        <v>0.76</v>
      </c>
      <c r="H23" s="5">
        <v>0.29599999999999999</v>
      </c>
      <c r="I23" s="5">
        <v>1.591</v>
      </c>
      <c r="J23" s="5">
        <v>5.9960000000000004</v>
      </c>
      <c r="K23" s="5">
        <v>9.3490000000000002</v>
      </c>
      <c r="L23" s="5">
        <v>8.8759999999999994</v>
      </c>
      <c r="M23" s="5">
        <v>5.8310000000000004</v>
      </c>
      <c r="N23" s="5">
        <v>3.548</v>
      </c>
      <c r="O23" s="5">
        <v>2.9159999999999999</v>
      </c>
      <c r="P23" s="5">
        <v>-0.20499999999999999</v>
      </c>
      <c r="Q23" s="5">
        <v>1.002</v>
      </c>
      <c r="R23" s="5">
        <v>1.4530000000000001</v>
      </c>
      <c r="S23" s="5">
        <v>1.5089999999999999</v>
      </c>
      <c r="T23" s="5">
        <v>2.1030000000000002</v>
      </c>
      <c r="U23" s="5">
        <v>2.4390000000000001</v>
      </c>
      <c r="V23" s="5">
        <v>2.9830000000000001</v>
      </c>
      <c r="W23" s="5">
        <v>3.1</v>
      </c>
      <c r="X23" s="5">
        <v>2.827</v>
      </c>
      <c r="Y23" s="5">
        <v>1.5249999999999999</v>
      </c>
      <c r="Z23" s="5">
        <v>1.206</v>
      </c>
      <c r="AA23" s="5">
        <v>2.391</v>
      </c>
      <c r="AB23" s="5">
        <v>2.4849999999999999</v>
      </c>
      <c r="AC23" s="5">
        <v>11.972</v>
      </c>
      <c r="AD23" s="7"/>
    </row>
    <row r="24" spans="1:30" x14ac:dyDescent="0.3">
      <c r="A24" s="2" t="s">
        <v>19</v>
      </c>
      <c r="B24" s="3" t="s">
        <v>20</v>
      </c>
      <c r="C24" s="2" t="s">
        <v>7</v>
      </c>
      <c r="D24" s="2" t="s">
        <v>11</v>
      </c>
      <c r="E24" s="5">
        <v>6.3700038299176596</v>
      </c>
      <c r="F24" s="5">
        <v>3.5352519739150701</v>
      </c>
      <c r="G24" s="5">
        <v>2.3902040257372601</v>
      </c>
      <c r="H24" s="5">
        <v>3.1934547373974498</v>
      </c>
      <c r="I24" s="5">
        <v>4.0920716112533997</v>
      </c>
      <c r="J24" s="5">
        <v>4.4717444717443398</v>
      </c>
      <c r="K24" s="5">
        <v>6.8438381937911696</v>
      </c>
      <c r="L24" s="5">
        <v>7.0878274268103798</v>
      </c>
      <c r="M24" s="5">
        <v>7.1562835660581898</v>
      </c>
      <c r="N24" s="5">
        <v>4.6735997995239096</v>
      </c>
      <c r="O24" s="5">
        <v>5.1472348575530997</v>
      </c>
      <c r="P24" s="5">
        <v>1.7645719489981999</v>
      </c>
      <c r="Q24" s="5">
        <v>2.2261997986352502</v>
      </c>
      <c r="R24" s="5">
        <v>2.1854660536214299</v>
      </c>
      <c r="S24" s="5">
        <v>2.9159118798574801</v>
      </c>
      <c r="T24" s="5">
        <v>4.3720190779014096</v>
      </c>
      <c r="U24" s="5">
        <v>4.34664345555447</v>
      </c>
      <c r="V24" s="5">
        <v>4.1812209999477803</v>
      </c>
      <c r="W24" s="5">
        <v>5.3311086189447998</v>
      </c>
      <c r="X24" s="5">
        <v>5.5520930715695602</v>
      </c>
      <c r="Y24" s="5">
        <v>3.5501648378683801</v>
      </c>
      <c r="Z24" s="5">
        <v>3.2906460120221102</v>
      </c>
      <c r="AA24" s="5">
        <v>6.58784560886967</v>
      </c>
      <c r="AB24" s="5">
        <v>3.76028052279247</v>
      </c>
      <c r="AC24" s="5">
        <v>2.3991692678251</v>
      </c>
      <c r="AD24" s="7"/>
    </row>
    <row r="25" spans="1:30" x14ac:dyDescent="0.3">
      <c r="A25" s="2" t="s">
        <v>21</v>
      </c>
      <c r="B25" s="3" t="s">
        <v>22</v>
      </c>
      <c r="C25" s="2" t="s">
        <v>23</v>
      </c>
      <c r="D25" s="2" t="s">
        <v>8</v>
      </c>
      <c r="E25" s="4">
        <v>-12794843.6146593</v>
      </c>
      <c r="F25" s="4">
        <v>16739539.3415644</v>
      </c>
      <c r="G25" s="4">
        <v>-19395622.695497699</v>
      </c>
      <c r="H25" s="4">
        <v>10638088.2576387</v>
      </c>
      <c r="I25" s="4">
        <v>-40774605.060366198</v>
      </c>
      <c r="J25" s="4">
        <v>-8788860.1267747693</v>
      </c>
      <c r="K25" s="4">
        <v>-12363482.364204301</v>
      </c>
      <c r="L25" s="4">
        <v>139189943.01545501</v>
      </c>
      <c r="M25" s="4">
        <v>48210757.853125297</v>
      </c>
      <c r="N25" s="4">
        <v>-18807407.378051199</v>
      </c>
      <c r="O25" s="4">
        <v>53507087.735935196</v>
      </c>
      <c r="P25" s="4">
        <v>161302390.82190201</v>
      </c>
      <c r="Q25" s="4">
        <v>281548556.29684901</v>
      </c>
      <c r="R25" s="4">
        <v>360343380.32467598</v>
      </c>
      <c r="S25" s="4">
        <v>405737369.10515797</v>
      </c>
      <c r="T25" s="4">
        <v>149755663.330268</v>
      </c>
      <c r="U25" s="4">
        <v>131790853.84078901</v>
      </c>
      <c r="V25" s="4">
        <v>200902719.34805101</v>
      </c>
      <c r="W25" s="4">
        <v>194073683.19686499</v>
      </c>
      <c r="X25" s="4">
        <v>218207871.71564201</v>
      </c>
      <c r="Y25" s="4">
        <v>174019952.06305</v>
      </c>
      <c r="Z25" s="4">
        <v>345985235.68002898</v>
      </c>
      <c r="AA25" s="4">
        <v>375988902.22379303</v>
      </c>
      <c r="AB25" s="4">
        <v>442960064.38583398</v>
      </c>
      <c r="AC25" s="4">
        <v>543007400</v>
      </c>
      <c r="AD25" s="7"/>
    </row>
    <row r="26" spans="1:30" x14ac:dyDescent="0.3">
      <c r="A26" s="2" t="s">
        <v>21</v>
      </c>
      <c r="B26" s="3" t="s">
        <v>22</v>
      </c>
      <c r="C26" s="2" t="s">
        <v>23</v>
      </c>
      <c r="D26" s="2" t="s">
        <v>9</v>
      </c>
      <c r="E26" s="4">
        <v>487.424141384243</v>
      </c>
      <c r="F26" s="4">
        <v>492.40149950907198</v>
      </c>
      <c r="G26" s="4">
        <v>546.46382965815906</v>
      </c>
      <c r="H26" s="4">
        <v>676.00287808428197</v>
      </c>
      <c r="I26" s="4">
        <v>758.69580378637102</v>
      </c>
      <c r="J26" s="4">
        <v>779.43777775326805</v>
      </c>
      <c r="K26" s="4">
        <v>809.14707250622098</v>
      </c>
      <c r="L26" s="4">
        <v>912.33824718834205</v>
      </c>
      <c r="M26" s="4">
        <v>1060.60254502099</v>
      </c>
      <c r="N26" s="4">
        <v>1024.10277858112</v>
      </c>
      <c r="O26" s="4">
        <v>973.24425493152603</v>
      </c>
      <c r="P26" s="4">
        <v>1059.41358852589</v>
      </c>
      <c r="Q26" s="4">
        <v>1071.5258366283001</v>
      </c>
      <c r="R26" s="4">
        <v>1168.9269927922601</v>
      </c>
      <c r="S26" s="4">
        <v>1204.3991867009399</v>
      </c>
      <c r="T26" s="4">
        <v>1002.41886879614</v>
      </c>
      <c r="U26" s="4">
        <v>1010.5338961993</v>
      </c>
      <c r="V26" s="4">
        <v>1054.97408066814</v>
      </c>
      <c r="W26" s="4">
        <v>1151.7409703471999</v>
      </c>
      <c r="X26" s="4">
        <v>1130.8213533979499</v>
      </c>
      <c r="Y26" s="4">
        <v>1200.1942655778901</v>
      </c>
      <c r="Z26" s="4">
        <v>1318.65158075198</v>
      </c>
      <c r="AA26" s="4">
        <v>1266.4271103190399</v>
      </c>
      <c r="AB26" s="4">
        <v>1394.17784721831</v>
      </c>
      <c r="AC26" s="4">
        <v>1485.3801888513401</v>
      </c>
      <c r="AD26" s="7"/>
    </row>
    <row r="27" spans="1:30" x14ac:dyDescent="0.3">
      <c r="A27" s="2" t="s">
        <v>21</v>
      </c>
      <c r="B27" s="3" t="s">
        <v>22</v>
      </c>
      <c r="C27" s="2" t="s">
        <v>23</v>
      </c>
      <c r="D27" s="2" t="s">
        <v>10</v>
      </c>
      <c r="E27" s="5">
        <v>-0.36299999999999999</v>
      </c>
      <c r="F27" s="5">
        <v>0.45700000000000002</v>
      </c>
      <c r="G27" s="5">
        <v>-0.46200000000000002</v>
      </c>
      <c r="H27" s="5">
        <v>0.19900000000000001</v>
      </c>
      <c r="I27" s="5">
        <v>-0.65900000000000003</v>
      </c>
      <c r="J27" s="5">
        <v>-0.13400000000000001</v>
      </c>
      <c r="K27" s="5">
        <v>-0.17599999999999999</v>
      </c>
      <c r="L27" s="5">
        <v>1.704</v>
      </c>
      <c r="M27" s="5">
        <v>0.49299999999999999</v>
      </c>
      <c r="N27" s="5">
        <v>-0.193</v>
      </c>
      <c r="O27" s="5">
        <v>0.56100000000000005</v>
      </c>
      <c r="P27" s="5">
        <v>1.508</v>
      </c>
      <c r="Q27" s="5">
        <v>2.5270000000000001</v>
      </c>
      <c r="R27" s="5">
        <v>2.879</v>
      </c>
      <c r="S27" s="5">
        <v>3.0539999999999998</v>
      </c>
      <c r="T27" s="5">
        <v>1.3149999999999999</v>
      </c>
      <c r="U27" s="5">
        <v>1.115</v>
      </c>
      <c r="V27" s="5">
        <v>1.5820000000000001</v>
      </c>
      <c r="W27" s="5">
        <v>1.361</v>
      </c>
      <c r="X27" s="5">
        <v>1.516</v>
      </c>
      <c r="Y27" s="5">
        <v>1.109</v>
      </c>
      <c r="Z27" s="5">
        <v>1.956</v>
      </c>
      <c r="AA27" s="5">
        <v>2.1579999999999999</v>
      </c>
      <c r="AB27" s="5">
        <v>2.2519999999999998</v>
      </c>
      <c r="AC27" s="5">
        <v>2.528</v>
      </c>
      <c r="AD27" s="7"/>
    </row>
    <row r="28" spans="1:30" x14ac:dyDescent="0.3">
      <c r="A28" s="2" t="s">
        <v>21</v>
      </c>
      <c r="B28" s="3" t="s">
        <v>22</v>
      </c>
      <c r="C28" s="2" t="s">
        <v>23</v>
      </c>
      <c r="D28" s="2" t="s">
        <v>11</v>
      </c>
      <c r="E28" s="5">
        <v>5.8577142054326901</v>
      </c>
      <c r="F28" s="5">
        <v>5.3331357060393696</v>
      </c>
      <c r="G28" s="5">
        <v>4.6430308707448198</v>
      </c>
      <c r="H28" s="5">
        <v>3.4435767759165801</v>
      </c>
      <c r="I28" s="5">
        <v>4.4296845538508203</v>
      </c>
      <c r="J28" s="5">
        <v>1.71316456361184</v>
      </c>
      <c r="K28" s="5">
        <v>3.9437388281579802</v>
      </c>
      <c r="L28" s="5">
        <v>5.9863493217760899</v>
      </c>
      <c r="M28" s="5">
        <v>4.89657708429647</v>
      </c>
      <c r="N28" s="5">
        <v>2.3192921391283798</v>
      </c>
      <c r="O28" s="5">
        <v>2.1140647264839201</v>
      </c>
      <c r="P28" s="5">
        <v>2.96375291904201</v>
      </c>
      <c r="Q28" s="5">
        <v>4.8112233156880002</v>
      </c>
      <c r="R28" s="5">
        <v>7.1914337214494601</v>
      </c>
      <c r="S28" s="5">
        <v>6.3576790979193198</v>
      </c>
      <c r="T28" s="5">
        <v>1.7781510603027799</v>
      </c>
      <c r="U28" s="5">
        <v>3.3396734262969301</v>
      </c>
      <c r="V28" s="5">
        <v>5.6715619515044402</v>
      </c>
      <c r="W28" s="5">
        <v>6.6972536218088798</v>
      </c>
      <c r="X28" s="5">
        <v>6.86568662848335</v>
      </c>
      <c r="Y28" s="5">
        <v>3.8487924003013401</v>
      </c>
      <c r="Z28" s="5">
        <v>7.1554516457573998</v>
      </c>
      <c r="AA28" s="5">
        <v>6.2529470537362499</v>
      </c>
      <c r="AB28" s="5">
        <v>6.3527773854441998</v>
      </c>
      <c r="AC28" s="5">
        <v>7.4531156622620101</v>
      </c>
      <c r="AD28" s="7"/>
    </row>
    <row r="29" spans="1:30" x14ac:dyDescent="0.3">
      <c r="A29" s="2" t="s">
        <v>24</v>
      </c>
      <c r="B29" s="3" t="s">
        <v>25</v>
      </c>
      <c r="C29" s="2" t="s">
        <v>23</v>
      </c>
      <c r="D29" s="2" t="s">
        <v>8</v>
      </c>
      <c r="E29" s="4">
        <v>23107520</v>
      </c>
      <c r="F29" s="4">
        <v>6267060</v>
      </c>
      <c r="G29" s="4">
        <v>15026080</v>
      </c>
      <c r="H29" s="4">
        <v>29122510</v>
      </c>
      <c r="I29" s="4">
        <v>14348320</v>
      </c>
      <c r="J29" s="4">
        <v>52130040.881428301</v>
      </c>
      <c r="K29" s="4">
        <v>83849256.071214706</v>
      </c>
      <c r="L29" s="4">
        <v>21711800.900866099</v>
      </c>
      <c r="M29" s="4">
        <v>33190579.876281898</v>
      </c>
      <c r="N29" s="4">
        <v>56653992.332481399</v>
      </c>
      <c r="O29" s="4">
        <v>38870701.3569488</v>
      </c>
      <c r="P29" s="4">
        <v>143845512.32713699</v>
      </c>
      <c r="Q29" s="4">
        <v>329281976.02832103</v>
      </c>
      <c r="R29" s="4">
        <v>490403410.53684098</v>
      </c>
      <c r="S29" s="4">
        <v>357296974.29413402</v>
      </c>
      <c r="T29" s="4">
        <v>231901703.68386799</v>
      </c>
      <c r="U29" s="4">
        <v>390622353.41017097</v>
      </c>
      <c r="V29" s="4">
        <v>2572690.3218817702</v>
      </c>
      <c r="W29" s="4">
        <v>268414907.94619501</v>
      </c>
      <c r="X29" s="4">
        <v>162970140.263612</v>
      </c>
      <c r="Y29" s="4">
        <v>-98777856.014441803</v>
      </c>
      <c r="Z29" s="4">
        <v>-79957355.3390048</v>
      </c>
      <c r="AA29" s="4">
        <v>669738240.85016406</v>
      </c>
      <c r="AB29" s="4">
        <v>109438755.39596599</v>
      </c>
      <c r="AC29" s="4">
        <v>82944120</v>
      </c>
      <c r="AD29" s="7"/>
    </row>
    <row r="30" spans="1:30" x14ac:dyDescent="0.3">
      <c r="A30" s="2" t="s">
        <v>24</v>
      </c>
      <c r="B30" s="3" t="s">
        <v>25</v>
      </c>
      <c r="C30" s="2" t="s">
        <v>23</v>
      </c>
      <c r="D30" s="2" t="s">
        <v>9</v>
      </c>
      <c r="E30" s="4">
        <v>248.90852692175201</v>
      </c>
      <c r="F30" s="4">
        <v>259.48522338043603</v>
      </c>
      <c r="G30" s="4">
        <v>285.654087637533</v>
      </c>
      <c r="H30" s="4">
        <v>362.37389999695301</v>
      </c>
      <c r="I30" s="4">
        <v>403.81283743461</v>
      </c>
      <c r="J30" s="4">
        <v>441.16414801601201</v>
      </c>
      <c r="K30" s="4">
        <v>455.513655620024</v>
      </c>
      <c r="L30" s="4">
        <v>514.68445117723797</v>
      </c>
      <c r="M30" s="4">
        <v>619.43753325626403</v>
      </c>
      <c r="N30" s="4">
        <v>601.56952067185898</v>
      </c>
      <c r="O30" s="4">
        <v>624.95725222476597</v>
      </c>
      <c r="P30" s="4">
        <v>725.02476772547504</v>
      </c>
      <c r="Q30" s="4">
        <v>731.47013886783304</v>
      </c>
      <c r="R30" s="4">
        <v>759.762065168498</v>
      </c>
      <c r="S30" s="4">
        <v>764.86167510622499</v>
      </c>
      <c r="T30" s="4">
        <v>630.12475075231202</v>
      </c>
      <c r="U30" s="4">
        <v>663.74236484288599</v>
      </c>
      <c r="V30" s="4">
        <v>709.09153589469497</v>
      </c>
      <c r="W30" s="4">
        <v>777.46561851404795</v>
      </c>
      <c r="X30" s="4">
        <v>764.85307777494597</v>
      </c>
      <c r="Y30" s="4">
        <v>825.237038782475</v>
      </c>
      <c r="Z30" s="4">
        <v>895.53528844299103</v>
      </c>
      <c r="AA30" s="4">
        <v>827.33084348666102</v>
      </c>
      <c r="AB30" s="4">
        <v>873.48258965100297</v>
      </c>
      <c r="AC30" s="4">
        <v>981.99264976908205</v>
      </c>
      <c r="AD30" s="7"/>
    </row>
    <row r="31" spans="1:30" x14ac:dyDescent="0.3">
      <c r="A31" s="2" t="s">
        <v>24</v>
      </c>
      <c r="B31" s="3" t="s">
        <v>25</v>
      </c>
      <c r="C31" s="2" t="s">
        <v>23</v>
      </c>
      <c r="D31" s="2" t="s">
        <v>10</v>
      </c>
      <c r="E31" s="5">
        <v>0.77800000000000002</v>
      </c>
      <c r="F31" s="5">
        <v>0.19600000000000001</v>
      </c>
      <c r="G31" s="5">
        <v>0.41499999999999998</v>
      </c>
      <c r="H31" s="5">
        <v>0.61399999999999999</v>
      </c>
      <c r="I31" s="5">
        <v>0.26300000000000001</v>
      </c>
      <c r="J31" s="5">
        <v>0.84799999999999998</v>
      </c>
      <c r="K31" s="5">
        <v>1.2809999999999999</v>
      </c>
      <c r="L31" s="5">
        <v>0.28499999999999998</v>
      </c>
      <c r="M31" s="5">
        <v>0.35099999999999998</v>
      </c>
      <c r="N31" s="5">
        <v>0.59899999999999998</v>
      </c>
      <c r="O31" s="5">
        <v>0.38400000000000001</v>
      </c>
      <c r="P31" s="5">
        <v>1.1910000000000001</v>
      </c>
      <c r="Q31" s="5">
        <v>2.621</v>
      </c>
      <c r="R31" s="5">
        <v>3.6480000000000001</v>
      </c>
      <c r="S31" s="5">
        <v>2.5630000000000002</v>
      </c>
      <c r="T31" s="5">
        <v>1.96</v>
      </c>
      <c r="U31" s="5">
        <v>3.044</v>
      </c>
      <c r="V31" s="5">
        <v>1.7999999999999999E-2</v>
      </c>
      <c r="W31" s="5">
        <v>1.6890000000000001</v>
      </c>
      <c r="X31" s="5">
        <v>1.016</v>
      </c>
      <c r="Y31" s="5">
        <v>-0.55700000000000005</v>
      </c>
      <c r="Z31" s="5">
        <v>-0.40600000000000003</v>
      </c>
      <c r="AA31" s="5">
        <v>3.5960000000000001</v>
      </c>
      <c r="AB31" s="5">
        <v>0.54400000000000004</v>
      </c>
      <c r="AC31" s="5">
        <v>0.35899999999999999</v>
      </c>
      <c r="AD31" s="7"/>
    </row>
    <row r="32" spans="1:30" x14ac:dyDescent="0.3">
      <c r="A32" s="2" t="s">
        <v>24</v>
      </c>
      <c r="B32" s="3" t="s">
        <v>25</v>
      </c>
      <c r="C32" s="2" t="s">
        <v>23</v>
      </c>
      <c r="D32" s="2" t="s">
        <v>11</v>
      </c>
      <c r="E32" s="5">
        <v>1.8884738890652499</v>
      </c>
      <c r="F32" s="5">
        <v>6.6134057453967898</v>
      </c>
      <c r="G32" s="5">
        <v>4.3529638298809896</v>
      </c>
      <c r="H32" s="5">
        <v>7.80249388870359</v>
      </c>
      <c r="I32" s="5">
        <v>4.4784521367038703</v>
      </c>
      <c r="J32" s="5">
        <v>8.6618732284122508</v>
      </c>
      <c r="K32" s="5">
        <v>6.2531646881747802</v>
      </c>
      <c r="L32" s="5">
        <v>4.1113790176151603</v>
      </c>
      <c r="M32" s="5">
        <v>5.7999917410538702</v>
      </c>
      <c r="N32" s="5">
        <v>2.9619508586669201</v>
      </c>
      <c r="O32" s="5">
        <v>8.4462815770762507</v>
      </c>
      <c r="P32" s="5">
        <v>6.6225626130669299</v>
      </c>
      <c r="Q32" s="5">
        <v>6.4526723795314602</v>
      </c>
      <c r="R32" s="5">
        <v>5.7925848450986699</v>
      </c>
      <c r="S32" s="5">
        <v>4.32684561452976</v>
      </c>
      <c r="T32" s="5">
        <v>3.9212287937935</v>
      </c>
      <c r="U32" s="5">
        <v>5.9579767075402401</v>
      </c>
      <c r="V32" s="5">
        <v>6.2034894112186798</v>
      </c>
      <c r="W32" s="5">
        <v>6.6045690681234097</v>
      </c>
      <c r="X32" s="5">
        <v>5.8892049706813498</v>
      </c>
      <c r="Y32" s="5">
        <v>2.0107726240622101</v>
      </c>
      <c r="Z32" s="5">
        <v>6.9425249257234798</v>
      </c>
      <c r="AA32" s="5">
        <v>1.62673258211919</v>
      </c>
      <c r="AB32" s="5">
        <v>3.00027415814125</v>
      </c>
      <c r="AC32" s="5">
        <v>4.7998095166715897</v>
      </c>
      <c r="AD32" s="7"/>
    </row>
    <row r="33" spans="1:30" x14ac:dyDescent="0.3">
      <c r="A33" s="2" t="s">
        <v>26</v>
      </c>
      <c r="B33" s="3" t="s">
        <v>27</v>
      </c>
      <c r="C33" s="2" t="s">
        <v>23</v>
      </c>
      <c r="D33" s="2" t="s">
        <v>8</v>
      </c>
      <c r="E33" s="4">
        <v>34202238.381614499</v>
      </c>
      <c r="F33" s="4">
        <v>9010186.2056865394</v>
      </c>
      <c r="G33" s="4">
        <v>14759046.6769551</v>
      </c>
      <c r="H33" s="4">
        <v>39216510.812763304</v>
      </c>
      <c r="I33" s="4">
        <v>67638273.803389907</v>
      </c>
      <c r="J33" s="4">
        <v>80513541.332208201</v>
      </c>
      <c r="K33" s="4">
        <v>131539968.034583</v>
      </c>
      <c r="L33" s="4">
        <v>191764359.16333899</v>
      </c>
      <c r="M33" s="4">
        <v>210903689.26943401</v>
      </c>
      <c r="N33" s="4">
        <v>126003552.248347</v>
      </c>
      <c r="O33" s="4">
        <v>116200563.572312</v>
      </c>
      <c r="P33" s="4">
        <v>102246382.223795</v>
      </c>
      <c r="Q33" s="4">
        <v>128009964.769676</v>
      </c>
      <c r="R33" s="4">
        <v>89297443.996138707</v>
      </c>
      <c r="S33" s="4">
        <v>180589795.41307399</v>
      </c>
      <c r="T33" s="4">
        <v>96071472.836867794</v>
      </c>
      <c r="U33" s="4">
        <v>126312006.10164399</v>
      </c>
      <c r="V33" s="4">
        <v>111711633.73814</v>
      </c>
      <c r="W33" s="4">
        <v>103550532.58903199</v>
      </c>
      <c r="X33" s="4">
        <v>122921295.022726</v>
      </c>
      <c r="Y33" s="4">
        <v>67619883.919923693</v>
      </c>
      <c r="Z33" s="4">
        <v>91456883.259019494</v>
      </c>
      <c r="AA33" s="4">
        <v>122015528.984869</v>
      </c>
      <c r="AB33" s="4">
        <v>158735894.913156</v>
      </c>
      <c r="AC33" s="4">
        <v>109932741.764781</v>
      </c>
      <c r="AD33" s="7"/>
    </row>
    <row r="34" spans="1:30" x14ac:dyDescent="0.3">
      <c r="A34" s="2" t="s">
        <v>26</v>
      </c>
      <c r="B34" s="3" t="s">
        <v>27</v>
      </c>
      <c r="C34" s="2" t="s">
        <v>23</v>
      </c>
      <c r="D34" s="2" t="s">
        <v>9</v>
      </c>
      <c r="E34" s="4">
        <v>1189.5147934589099</v>
      </c>
      <c r="F34" s="4">
        <v>1223.33055331575</v>
      </c>
      <c r="G34" s="4">
        <v>1328.57874270666</v>
      </c>
      <c r="H34" s="4">
        <v>1717.9756536965499</v>
      </c>
      <c r="I34" s="4">
        <v>1929.4908146878099</v>
      </c>
      <c r="J34" s="4">
        <v>2004.14680417563</v>
      </c>
      <c r="K34" s="4">
        <v>2256.9966619107499</v>
      </c>
      <c r="L34" s="4">
        <v>3324.57675212498</v>
      </c>
      <c r="M34" s="4">
        <v>3908.6488582257598</v>
      </c>
      <c r="N34" s="4">
        <v>3659.7204636162801</v>
      </c>
      <c r="O34" s="4">
        <v>3579.4600613780899</v>
      </c>
      <c r="P34" s="4">
        <v>4002.0138688878501</v>
      </c>
      <c r="Q34" s="4">
        <v>3736.81517011087</v>
      </c>
      <c r="R34" s="4">
        <v>3960.9759679134499</v>
      </c>
      <c r="S34" s="4">
        <v>3985.6070654813402</v>
      </c>
      <c r="T34" s="4">
        <v>3415.0626673093102</v>
      </c>
      <c r="U34" s="4">
        <v>3608.9660523490702</v>
      </c>
      <c r="V34" s="4">
        <v>3893.0957138250601</v>
      </c>
      <c r="W34" s="4">
        <v>4294.9651003572899</v>
      </c>
      <c r="X34" s="4">
        <v>4380.7811733112803</v>
      </c>
      <c r="Y34" s="4">
        <v>3539.2266124829898</v>
      </c>
      <c r="Z34" s="4">
        <v>3971.4440920342299</v>
      </c>
      <c r="AA34" s="4">
        <v>4323.3136203270897</v>
      </c>
      <c r="AB34" s="4">
        <v>4794.9012191725897</v>
      </c>
      <c r="AC34" s="4">
        <v>5192.4815732587804</v>
      </c>
      <c r="AD34" s="7"/>
    </row>
    <row r="35" spans="1:30" x14ac:dyDescent="0.3">
      <c r="A35" s="2" t="s">
        <v>26</v>
      </c>
      <c r="B35" s="3" t="s">
        <v>27</v>
      </c>
      <c r="C35" s="2" t="s">
        <v>23</v>
      </c>
      <c r="D35" s="2" t="s">
        <v>10</v>
      </c>
      <c r="E35" s="5">
        <v>6.343</v>
      </c>
      <c r="F35" s="5">
        <v>1.6</v>
      </c>
      <c r="G35" s="5">
        <v>2.379</v>
      </c>
      <c r="H35" s="5">
        <v>4.8220000000000001</v>
      </c>
      <c r="I35" s="5">
        <v>7.3129999999999997</v>
      </c>
      <c r="J35" s="5">
        <v>8.2810000000000006</v>
      </c>
      <c r="K35" s="5">
        <v>11.875999999999999</v>
      </c>
      <c r="L35" s="5">
        <v>11.625</v>
      </c>
      <c r="M35" s="5">
        <v>10.762</v>
      </c>
      <c r="N35" s="5">
        <v>6.8019999999999996</v>
      </c>
      <c r="O35" s="5">
        <v>6.3680000000000003</v>
      </c>
      <c r="P35" s="5">
        <v>4.9950000000000001</v>
      </c>
      <c r="Q35" s="5">
        <v>6.6909999999999998</v>
      </c>
      <c r="R35" s="5">
        <v>4.4009999999999998</v>
      </c>
      <c r="S35" s="5">
        <v>8.8439999999999994</v>
      </c>
      <c r="T35" s="5">
        <v>5.49</v>
      </c>
      <c r="U35" s="5">
        <v>6.8280000000000003</v>
      </c>
      <c r="V35" s="5">
        <v>5.5949999999999998</v>
      </c>
      <c r="W35" s="5">
        <v>4.6959999999999997</v>
      </c>
      <c r="X35" s="5">
        <v>5.4580000000000002</v>
      </c>
      <c r="Y35" s="5">
        <v>3.7120000000000002</v>
      </c>
      <c r="Z35" s="5">
        <v>4.4569999999999999</v>
      </c>
      <c r="AA35" s="5">
        <v>5.43</v>
      </c>
      <c r="AB35" s="5">
        <v>6.3380000000000001</v>
      </c>
      <c r="AC35" s="5">
        <v>4.0339999999999998</v>
      </c>
      <c r="AD35" s="7"/>
    </row>
    <row r="36" spans="1:30" x14ac:dyDescent="0.3">
      <c r="A36" s="2" t="s">
        <v>26</v>
      </c>
      <c r="B36" s="3" t="s">
        <v>27</v>
      </c>
      <c r="C36" s="2" t="s">
        <v>23</v>
      </c>
      <c r="D36" s="2" t="s">
        <v>11</v>
      </c>
      <c r="E36" s="5">
        <v>14.2848688450919</v>
      </c>
      <c r="F36" s="5">
        <v>2.23165454528898</v>
      </c>
      <c r="G36" s="5">
        <v>5.2508911696021103</v>
      </c>
      <c r="H36" s="5">
        <v>4.1762593257833203</v>
      </c>
      <c r="I36" s="5">
        <v>10.197072633926</v>
      </c>
      <c r="J36" s="5">
        <v>6.91245795720201</v>
      </c>
      <c r="K36" s="5">
        <v>7.9837504479504799</v>
      </c>
      <c r="L36" s="5">
        <v>15.170687973551701</v>
      </c>
      <c r="M36" s="5">
        <v>7.0390112956512798</v>
      </c>
      <c r="N36" s="5">
        <v>-1.5035867238567899</v>
      </c>
      <c r="O36" s="5">
        <v>1.8364191498997799</v>
      </c>
      <c r="P36" s="5">
        <v>3.92471821338283</v>
      </c>
      <c r="Q36" s="5">
        <v>1.08364848376166</v>
      </c>
      <c r="R36" s="5">
        <v>0.63213672738513105</v>
      </c>
      <c r="S36" s="5">
        <v>0.69666684011858104</v>
      </c>
      <c r="T36" s="5">
        <v>0.93602650780883301</v>
      </c>
      <c r="U36" s="5">
        <v>4.2807148266237096</v>
      </c>
      <c r="V36" s="5">
        <v>4.5513148102974004</v>
      </c>
      <c r="W36" s="5">
        <v>3.7069645831084199</v>
      </c>
      <c r="X36" s="5">
        <v>6.9478263405185903</v>
      </c>
      <c r="Y36" s="5">
        <v>-20.8052758990735</v>
      </c>
      <c r="Z36" s="5">
        <v>7.0335301069451397</v>
      </c>
      <c r="AA36" s="5">
        <v>15.843675684641999</v>
      </c>
      <c r="AB36" s="5">
        <v>4.7947613911072997</v>
      </c>
      <c r="AC36" s="5">
        <v>7.2438853899094502</v>
      </c>
      <c r="AD36" s="7"/>
    </row>
    <row r="37" spans="1:30" x14ac:dyDescent="0.3">
      <c r="A37" s="2" t="s">
        <v>28</v>
      </c>
      <c r="B37" s="3" t="s">
        <v>29</v>
      </c>
      <c r="C37" s="2" t="s">
        <v>23</v>
      </c>
      <c r="D37" s="2" t="s">
        <v>8</v>
      </c>
      <c r="E37" s="4">
        <v>234701730</v>
      </c>
      <c r="F37" s="4">
        <v>272679900</v>
      </c>
      <c r="G37" s="4">
        <v>212580420</v>
      </c>
      <c r="H37" s="4">
        <v>165390570</v>
      </c>
      <c r="I37" s="4">
        <v>282979830</v>
      </c>
      <c r="J37" s="4">
        <v>349059586.54327202</v>
      </c>
      <c r="K37" s="4">
        <v>350964618.55939603</v>
      </c>
      <c r="L37" s="4">
        <v>443801751.42317301</v>
      </c>
      <c r="M37" s="4">
        <v>468377743.888901</v>
      </c>
      <c r="N37" s="4">
        <v>397624744.26800501</v>
      </c>
      <c r="O37" s="4">
        <v>358468317.34200102</v>
      </c>
      <c r="P37" s="4">
        <v>301972462.51786</v>
      </c>
      <c r="Q37" s="4">
        <v>330255520.65456998</v>
      </c>
      <c r="R37" s="4">
        <v>407592122.10142702</v>
      </c>
      <c r="S37" s="4">
        <v>439356961.15090001</v>
      </c>
      <c r="T37" s="4">
        <v>494408755.77634001</v>
      </c>
      <c r="U37" s="4">
        <v>577871524.15621495</v>
      </c>
      <c r="V37" s="4">
        <v>975014998.79549205</v>
      </c>
      <c r="W37" s="4">
        <v>620330654.35979104</v>
      </c>
      <c r="X37" s="4">
        <v>848881139.44287598</v>
      </c>
      <c r="Y37" s="4">
        <v>712915894.48161602</v>
      </c>
      <c r="Z37" s="4">
        <v>1392435143.3830099</v>
      </c>
      <c r="AA37" s="4">
        <v>1599115748.8332601</v>
      </c>
      <c r="AB37" s="4">
        <v>2485137116.6921401</v>
      </c>
      <c r="AC37" s="4">
        <v>3121671772.6083102</v>
      </c>
      <c r="AD37" s="7"/>
    </row>
    <row r="38" spans="1:30" x14ac:dyDescent="0.3">
      <c r="A38" s="2" t="s">
        <v>28</v>
      </c>
      <c r="B38" s="3" t="s">
        <v>29</v>
      </c>
      <c r="C38" s="2" t="s">
        <v>23</v>
      </c>
      <c r="D38" s="2" t="s">
        <v>9</v>
      </c>
      <c r="E38" s="4">
        <v>936.636541348798</v>
      </c>
      <c r="F38" s="4">
        <v>924.72729496206603</v>
      </c>
      <c r="G38" s="4">
        <v>967.81586441599097</v>
      </c>
      <c r="H38" s="4">
        <v>1111.17135087887</v>
      </c>
      <c r="I38" s="4">
        <v>1199.8252452854599</v>
      </c>
      <c r="J38" s="4">
        <v>1197.7461697941501</v>
      </c>
      <c r="K38" s="4">
        <v>1230.4305683858399</v>
      </c>
      <c r="L38" s="4">
        <v>1367.5381772232599</v>
      </c>
      <c r="M38" s="4">
        <v>1583.97066701372</v>
      </c>
      <c r="N38" s="4">
        <v>1540.4539356959599</v>
      </c>
      <c r="O38" s="4">
        <v>1553.54887048143</v>
      </c>
      <c r="P38" s="4">
        <v>1596.6282656599799</v>
      </c>
      <c r="Q38" s="4">
        <v>1546.9460184730999</v>
      </c>
      <c r="R38" s="4">
        <v>1786.1586203132399</v>
      </c>
      <c r="S38" s="4">
        <v>1991.36539423404</v>
      </c>
      <c r="T38" s="4">
        <v>1814.7185508801699</v>
      </c>
      <c r="U38" s="4">
        <v>1862.5959708128701</v>
      </c>
      <c r="V38" s="4">
        <v>1964.29930338343</v>
      </c>
      <c r="W38" s="4">
        <v>2130.8661938114401</v>
      </c>
      <c r="X38" s="4">
        <v>2141.7683617011498</v>
      </c>
      <c r="Y38" s="4">
        <v>2179.7293483293502</v>
      </c>
      <c r="Z38" s="4">
        <v>2455.9812764114799</v>
      </c>
      <c r="AA38" s="4">
        <v>2333.3712830125901</v>
      </c>
      <c r="AB38" s="4">
        <v>2591.9659048119001</v>
      </c>
      <c r="AC38" s="4">
        <v>2727.8935220696999</v>
      </c>
      <c r="AD38" s="7"/>
    </row>
    <row r="39" spans="1:30" x14ac:dyDescent="0.3">
      <c r="A39" s="2" t="s">
        <v>28</v>
      </c>
      <c r="B39" s="3" t="s">
        <v>29</v>
      </c>
      <c r="C39" s="2" t="s">
        <v>23</v>
      </c>
      <c r="D39" s="2" t="s">
        <v>10</v>
      </c>
      <c r="E39" s="5">
        <v>1.4159999999999999</v>
      </c>
      <c r="F39" s="5">
        <v>1.6220000000000001</v>
      </c>
      <c r="G39" s="5">
        <v>1.177</v>
      </c>
      <c r="H39" s="5">
        <v>0.77800000000000002</v>
      </c>
      <c r="I39" s="5">
        <v>1.204</v>
      </c>
      <c r="J39" s="5">
        <v>1.452</v>
      </c>
      <c r="K39" s="5">
        <v>1.3879999999999999</v>
      </c>
      <c r="L39" s="5">
        <v>1.5429999999999999</v>
      </c>
      <c r="M39" s="5">
        <v>1.3740000000000001</v>
      </c>
      <c r="N39" s="5">
        <v>1.173</v>
      </c>
      <c r="O39" s="5">
        <v>1.026</v>
      </c>
      <c r="P39" s="5">
        <v>0.82299999999999995</v>
      </c>
      <c r="Q39" s="5">
        <v>0.91</v>
      </c>
      <c r="R39" s="5">
        <v>0.95299999999999996</v>
      </c>
      <c r="S39" s="5">
        <v>0.9</v>
      </c>
      <c r="T39" s="5">
        <v>1.079</v>
      </c>
      <c r="U39" s="5">
        <v>1.194</v>
      </c>
      <c r="V39" s="5">
        <v>1.857</v>
      </c>
      <c r="W39" s="5">
        <v>1.06</v>
      </c>
      <c r="X39" s="5">
        <v>1.4059999999999999</v>
      </c>
      <c r="Y39" s="5">
        <v>1.131</v>
      </c>
      <c r="Z39" s="5">
        <v>1.913</v>
      </c>
      <c r="AA39" s="5">
        <v>2.2549999999999999</v>
      </c>
      <c r="AB39" s="5">
        <v>3.0760000000000001</v>
      </c>
      <c r="AC39" s="5">
        <v>3.5830000000000002</v>
      </c>
      <c r="AD39" s="7"/>
    </row>
    <row r="40" spans="1:30" x14ac:dyDescent="0.3">
      <c r="A40" s="2" t="s">
        <v>28</v>
      </c>
      <c r="B40" s="3" t="s">
        <v>29</v>
      </c>
      <c r="C40" s="2" t="s">
        <v>23</v>
      </c>
      <c r="D40" s="2" t="s">
        <v>11</v>
      </c>
      <c r="E40" s="5">
        <v>-0.26578946227594702</v>
      </c>
      <c r="F40" s="5">
        <v>-2.1540124907730598</v>
      </c>
      <c r="G40" s="5">
        <v>-2.7305264744190101</v>
      </c>
      <c r="H40" s="5">
        <v>-4.7258665863068101</v>
      </c>
      <c r="I40" s="5">
        <v>3.1850382257539702</v>
      </c>
      <c r="J40" s="5">
        <v>0.99606556485478903</v>
      </c>
      <c r="K40" s="5">
        <v>2.8155785925232699</v>
      </c>
      <c r="L40" s="5">
        <v>1.10142976793478</v>
      </c>
      <c r="M40" s="5">
        <v>4.7826659787672003</v>
      </c>
      <c r="N40" s="5">
        <v>3.6033215666705298</v>
      </c>
      <c r="O40" s="5">
        <v>6.8480493990701401</v>
      </c>
      <c r="P40" s="5">
        <v>-5.3704472400057899</v>
      </c>
      <c r="Q40" s="5">
        <v>7.6204117645164899</v>
      </c>
      <c r="R40" s="5">
        <v>10.7602131311256</v>
      </c>
      <c r="S40" s="5">
        <v>9.3719999424037503</v>
      </c>
      <c r="T40" s="5">
        <v>7.1949494272819097</v>
      </c>
      <c r="U40" s="5">
        <v>7.1727596395633197</v>
      </c>
      <c r="V40" s="5">
        <v>7.4107624259250402</v>
      </c>
      <c r="W40" s="5">
        <v>4.8431460588917803</v>
      </c>
      <c r="X40" s="5">
        <v>6.7213716758497801</v>
      </c>
      <c r="Y40" s="5">
        <v>0.699728593494228</v>
      </c>
      <c r="Z40" s="5">
        <v>7.0633291020523199</v>
      </c>
      <c r="AA40" s="5">
        <v>6.3998836272053099</v>
      </c>
      <c r="AB40" s="5">
        <v>6.6000004522395397</v>
      </c>
      <c r="AC40" s="5">
        <v>6.0195346194006198</v>
      </c>
      <c r="AD40" s="7"/>
    </row>
    <row r="41" spans="1:30" x14ac:dyDescent="0.3">
      <c r="A41" s="2" t="s">
        <v>30</v>
      </c>
      <c r="B41" s="3" t="s">
        <v>31</v>
      </c>
      <c r="C41" s="2" t="s">
        <v>23</v>
      </c>
      <c r="D41" s="2" t="s">
        <v>8</v>
      </c>
      <c r="E41" s="4">
        <v>43520000</v>
      </c>
      <c r="F41" s="4">
        <v>35480000</v>
      </c>
      <c r="G41" s="4">
        <v>42827000</v>
      </c>
      <c r="H41" s="4">
        <v>18272720.342347</v>
      </c>
      <c r="I41" s="4">
        <v>55526319.440783001</v>
      </c>
      <c r="J41" s="4">
        <v>53650280.019083999</v>
      </c>
      <c r="K41" s="4">
        <v>82208102.587764904</v>
      </c>
      <c r="L41" s="4">
        <v>78094820.958579406</v>
      </c>
      <c r="M41" s="4">
        <v>70792382.320713699</v>
      </c>
      <c r="N41" s="4">
        <v>39447343.708400503</v>
      </c>
      <c r="O41" s="4">
        <v>37140887.813173302</v>
      </c>
      <c r="P41" s="4">
        <v>36077136.081373401</v>
      </c>
      <c r="Q41" s="4">
        <v>41183457.769836597</v>
      </c>
      <c r="R41" s="4">
        <v>68340322.378847897</v>
      </c>
      <c r="S41" s="4">
        <v>23014092.042456001</v>
      </c>
      <c r="T41" s="4">
        <v>71976051.703413799</v>
      </c>
      <c r="U41" s="4">
        <v>69830172.212843999</v>
      </c>
      <c r="V41" s="4">
        <v>64338516.035137199</v>
      </c>
      <c r="W41" s="4">
        <v>81805006.595904499</v>
      </c>
      <c r="X41" s="4">
        <v>71083305.866793707</v>
      </c>
      <c r="Y41" s="4">
        <v>189576190.79422599</v>
      </c>
      <c r="Z41" s="4">
        <v>251822628.807365</v>
      </c>
      <c r="AA41" s="4">
        <v>231488000</v>
      </c>
      <c r="AB41" s="4">
        <v>205541473.78385401</v>
      </c>
      <c r="AC41" s="4">
        <v>232357063.91713399</v>
      </c>
      <c r="AD41" s="7"/>
    </row>
    <row r="42" spans="1:30" x14ac:dyDescent="0.3">
      <c r="A42" s="2" t="s">
        <v>30</v>
      </c>
      <c r="B42" s="3" t="s">
        <v>31</v>
      </c>
      <c r="C42" s="2" t="s">
        <v>23</v>
      </c>
      <c r="D42" s="2" t="s">
        <v>9</v>
      </c>
      <c r="E42" s="4">
        <v>538.05407234885399</v>
      </c>
      <c r="F42" s="4">
        <v>459.80306838139899</v>
      </c>
      <c r="G42" s="4">
        <v>376.53102696258401</v>
      </c>
      <c r="H42" s="4">
        <v>308.719123437588</v>
      </c>
      <c r="I42" s="4">
        <v>593.28534632658102</v>
      </c>
      <c r="J42" s="4">
        <v>616.48365786534805</v>
      </c>
      <c r="K42" s="4">
        <v>614.54430790446395</v>
      </c>
      <c r="L42" s="4">
        <v>724.72640724243195</v>
      </c>
      <c r="M42" s="4">
        <v>859.12767141122595</v>
      </c>
      <c r="N42" s="4">
        <v>774.88803090809097</v>
      </c>
      <c r="O42" s="4">
        <v>801.03337271453597</v>
      </c>
      <c r="P42" s="4">
        <v>710.60841146815198</v>
      </c>
      <c r="Q42" s="4">
        <v>692.57936162810199</v>
      </c>
      <c r="R42" s="4">
        <v>653.86271327274301</v>
      </c>
      <c r="S42" s="4">
        <v>568.00453558864001</v>
      </c>
      <c r="T42" s="4">
        <v>619.53636429646099</v>
      </c>
      <c r="U42" s="4">
        <v>650.05650132361097</v>
      </c>
      <c r="V42" s="4">
        <v>642.52264129633102</v>
      </c>
      <c r="W42" s="4">
        <v>696.21980696061496</v>
      </c>
      <c r="X42" s="4">
        <v>738.18675198748304</v>
      </c>
      <c r="Y42" s="4">
        <v>720.33514335213295</v>
      </c>
      <c r="Z42" s="4">
        <v>781.89092516953099</v>
      </c>
      <c r="AA42" s="4">
        <v>836.24487586847602</v>
      </c>
      <c r="AB42" s="4">
        <v>883.02411171980896</v>
      </c>
      <c r="AC42" s="4">
        <v>871.34029177629395</v>
      </c>
      <c r="AD42" s="7"/>
    </row>
    <row r="43" spans="1:30" x14ac:dyDescent="0.3">
      <c r="A43" s="2" t="s">
        <v>30</v>
      </c>
      <c r="B43" s="3" t="s">
        <v>31</v>
      </c>
      <c r="C43" s="2" t="s">
        <v>23</v>
      </c>
      <c r="D43" s="2" t="s">
        <v>10</v>
      </c>
      <c r="E43" s="5">
        <v>5.5590000000000002</v>
      </c>
      <c r="F43" s="5">
        <v>5.1609999999999996</v>
      </c>
      <c r="G43" s="5">
        <v>7.407</v>
      </c>
      <c r="H43" s="5">
        <v>3.7519999999999998</v>
      </c>
      <c r="I43" s="5">
        <v>5.7729999999999997</v>
      </c>
      <c r="J43" s="5">
        <v>5.22</v>
      </c>
      <c r="K43" s="5">
        <v>7.7990000000000004</v>
      </c>
      <c r="L43" s="5">
        <v>6.1029999999999998</v>
      </c>
      <c r="M43" s="5">
        <v>4.5330000000000004</v>
      </c>
      <c r="N43" s="5">
        <v>2.72</v>
      </c>
      <c r="O43" s="5">
        <v>2.407</v>
      </c>
      <c r="P43" s="5">
        <v>2.5590000000000002</v>
      </c>
      <c r="Q43" s="5">
        <v>2.91</v>
      </c>
      <c r="R43" s="5">
        <v>4.968</v>
      </c>
      <c r="S43" s="5">
        <v>1.8720000000000001</v>
      </c>
      <c r="T43" s="5">
        <v>5.2229999999999999</v>
      </c>
      <c r="U43" s="5">
        <v>4.7039999999999997</v>
      </c>
      <c r="V43" s="5">
        <v>4.2750000000000004</v>
      </c>
      <c r="W43" s="5">
        <v>4.8970000000000002</v>
      </c>
      <c r="X43" s="5">
        <v>3.919</v>
      </c>
      <c r="Y43" s="5">
        <v>10.461</v>
      </c>
      <c r="Z43" s="5">
        <v>12.503</v>
      </c>
      <c r="AA43" s="5">
        <v>10.5</v>
      </c>
      <c r="AB43" s="5">
        <v>8.6280000000000001</v>
      </c>
      <c r="AC43" s="5">
        <v>9.6620000000000008</v>
      </c>
      <c r="AD43" s="7"/>
    </row>
    <row r="44" spans="1:30" x14ac:dyDescent="0.3">
      <c r="A44" s="2" t="s">
        <v>30</v>
      </c>
      <c r="B44" s="3" t="s">
        <v>31</v>
      </c>
      <c r="C44" s="2" t="s">
        <v>23</v>
      </c>
      <c r="D44" s="2" t="s">
        <v>11</v>
      </c>
      <c r="E44" s="5">
        <v>5.5000002163295498</v>
      </c>
      <c r="F44" s="5">
        <v>5.8000002432337698</v>
      </c>
      <c r="G44" s="5">
        <v>-3.2500001497020601</v>
      </c>
      <c r="H44" s="5">
        <v>6.8699996217384198</v>
      </c>
      <c r="I44" s="5">
        <v>7.0500000006463504</v>
      </c>
      <c r="J44" s="5">
        <v>-2.35172936176019</v>
      </c>
      <c r="K44" s="5">
        <v>-0.555580977246521</v>
      </c>
      <c r="L44" s="5">
        <v>3.0432495082973898</v>
      </c>
      <c r="M44" s="5">
        <v>6.2559055339428697</v>
      </c>
      <c r="N44" s="5">
        <v>6.6657243078367001</v>
      </c>
      <c r="O44" s="5">
        <v>5.90833580968288</v>
      </c>
      <c r="P44" s="5">
        <v>-8.1304442231565908</v>
      </c>
      <c r="Q44" s="5">
        <v>5.2415692463074102</v>
      </c>
      <c r="R44" s="5">
        <v>2.8727687903270001</v>
      </c>
      <c r="S44" s="5">
        <v>-1.4073824951095499</v>
      </c>
      <c r="T44" s="5">
        <v>4.0580738039996103</v>
      </c>
      <c r="U44" s="5">
        <v>1.9433596547877601</v>
      </c>
      <c r="V44" s="5">
        <v>4.8226112492756998</v>
      </c>
      <c r="W44" s="5">
        <v>7.2348903325857901</v>
      </c>
      <c r="X44" s="5">
        <v>6.2220531599485902</v>
      </c>
      <c r="Y44" s="5">
        <v>0.59148728787397398</v>
      </c>
      <c r="Z44" s="5">
        <v>5.25596878816744</v>
      </c>
      <c r="AA44" s="5">
        <v>5.49299823010114</v>
      </c>
      <c r="AB44" s="5">
        <v>5.9167957146696999</v>
      </c>
      <c r="AC44" s="5">
        <v>5.5512606951032097</v>
      </c>
      <c r="AD44" s="7"/>
    </row>
    <row r="45" spans="1:30" x14ac:dyDescent="0.3">
      <c r="A45" s="2" t="s">
        <v>32</v>
      </c>
      <c r="B45" s="3" t="s">
        <v>33</v>
      </c>
      <c r="C45" s="2" t="s">
        <v>23</v>
      </c>
      <c r="D45" s="2" t="s">
        <v>8</v>
      </c>
      <c r="E45" s="4">
        <v>165900000</v>
      </c>
      <c r="F45" s="4">
        <v>89320000</v>
      </c>
      <c r="G45" s="4">
        <v>58930000</v>
      </c>
      <c r="H45" s="4">
        <v>136751000</v>
      </c>
      <c r="I45" s="4">
        <v>139270000</v>
      </c>
      <c r="J45" s="4">
        <v>144970000</v>
      </c>
      <c r="K45" s="4">
        <v>636010000</v>
      </c>
      <c r="L45" s="4">
        <v>1383177929.8545799</v>
      </c>
      <c r="M45" s="4">
        <v>2714916343.69978</v>
      </c>
      <c r="N45" s="4">
        <v>2372540000</v>
      </c>
      <c r="O45" s="4">
        <v>2527350000</v>
      </c>
      <c r="P45" s="4">
        <v>3247588000</v>
      </c>
      <c r="Q45" s="4">
        <v>3294520000</v>
      </c>
      <c r="R45" s="4">
        <v>3227000000</v>
      </c>
      <c r="S45" s="4">
        <v>3363389444.4444399</v>
      </c>
      <c r="T45" s="4">
        <v>3192320530.7897</v>
      </c>
      <c r="U45" s="4">
        <v>3485333369.2796302</v>
      </c>
      <c r="V45" s="4">
        <v>3254990000</v>
      </c>
      <c r="W45" s="4">
        <v>2989035000</v>
      </c>
      <c r="X45" s="4">
        <v>3879831469.6999998</v>
      </c>
      <c r="Y45" s="4">
        <v>1875782953.4690499</v>
      </c>
      <c r="Z45" s="4">
        <v>2533586462.0387301</v>
      </c>
      <c r="AA45" s="4">
        <v>1428411737.1329999</v>
      </c>
      <c r="AB45" s="4">
        <v>1319315614.6798899</v>
      </c>
      <c r="AC45" s="4">
        <v>1765552579.5641</v>
      </c>
      <c r="AD45" s="7"/>
    </row>
    <row r="46" spans="1:30" x14ac:dyDescent="0.3">
      <c r="A46" s="2" t="s">
        <v>32</v>
      </c>
      <c r="B46" s="3" t="s">
        <v>33</v>
      </c>
      <c r="C46" s="2" t="s">
        <v>23</v>
      </c>
      <c r="D46" s="2" t="s">
        <v>9</v>
      </c>
      <c r="E46" s="4">
        <v>253.74693620334401</v>
      </c>
      <c r="F46" s="4">
        <v>263.54215649485297</v>
      </c>
      <c r="G46" s="4">
        <v>297.461644687741</v>
      </c>
      <c r="H46" s="4">
        <v>358.39927142072997</v>
      </c>
      <c r="I46" s="4">
        <v>406.13210532956498</v>
      </c>
      <c r="J46" s="4">
        <v>478.61190919102802</v>
      </c>
      <c r="K46" s="4">
        <v>906.44102756488701</v>
      </c>
      <c r="L46" s="4">
        <v>1050.1246152492599</v>
      </c>
      <c r="M46" s="4">
        <v>1182.65761256017</v>
      </c>
      <c r="N46" s="4">
        <v>1047.7043009358599</v>
      </c>
      <c r="O46" s="4">
        <v>1263.8925176053899</v>
      </c>
      <c r="P46" s="4">
        <v>1507.4357319875301</v>
      </c>
      <c r="Q46" s="4">
        <v>1543.7752423576401</v>
      </c>
      <c r="R46" s="4">
        <v>2294.7958469374298</v>
      </c>
      <c r="S46" s="4">
        <v>1949.9083292384601</v>
      </c>
      <c r="T46" s="4">
        <v>1722.77282833606</v>
      </c>
      <c r="U46" s="4">
        <v>1912.47991339951</v>
      </c>
      <c r="V46" s="4">
        <v>2012.2866264126501</v>
      </c>
      <c r="W46" s="4">
        <v>2195.32166016377</v>
      </c>
      <c r="X46" s="4">
        <v>2186.65822682613</v>
      </c>
      <c r="Y46" s="4">
        <v>2195.4548165998699</v>
      </c>
      <c r="Z46" s="4">
        <v>2445.1866252934401</v>
      </c>
      <c r="AA46" s="4">
        <v>2229.8912264780301</v>
      </c>
      <c r="AB46" s="4">
        <v>2383.9041048341801</v>
      </c>
      <c r="AC46" s="4">
        <v>2390.7723765271498</v>
      </c>
      <c r="AD46" s="7"/>
    </row>
    <row r="47" spans="1:30" x14ac:dyDescent="0.3">
      <c r="A47" s="2" t="s">
        <v>32</v>
      </c>
      <c r="B47" s="3" t="s">
        <v>33</v>
      </c>
      <c r="C47" s="2" t="s">
        <v>23</v>
      </c>
      <c r="D47" s="2" t="s">
        <v>10</v>
      </c>
      <c r="E47" s="5">
        <v>3.3290000000000002</v>
      </c>
      <c r="F47" s="5">
        <v>1.681</v>
      </c>
      <c r="G47" s="5">
        <v>0.95599999999999996</v>
      </c>
      <c r="H47" s="5">
        <v>1.792</v>
      </c>
      <c r="I47" s="5">
        <v>1.5680000000000001</v>
      </c>
      <c r="J47" s="5">
        <v>1.349</v>
      </c>
      <c r="K47" s="5">
        <v>3.0449999999999999</v>
      </c>
      <c r="L47" s="5">
        <v>5.5709999999999997</v>
      </c>
      <c r="M47" s="5">
        <v>9.4659999999999993</v>
      </c>
      <c r="N47" s="5">
        <v>9.1080000000000005</v>
      </c>
      <c r="O47" s="5">
        <v>7.8490000000000002</v>
      </c>
      <c r="P47" s="5">
        <v>8.2560000000000002</v>
      </c>
      <c r="Q47" s="5">
        <v>7.9829999999999997</v>
      </c>
      <c r="R47" s="5">
        <v>5.1349999999999998</v>
      </c>
      <c r="S47" s="5">
        <v>6.1509999999999998</v>
      </c>
      <c r="T47" s="5">
        <v>6.4569999999999999</v>
      </c>
      <c r="U47" s="5">
        <v>6.2080000000000002</v>
      </c>
      <c r="V47" s="5">
        <v>5.39</v>
      </c>
      <c r="W47" s="5">
        <v>4.444</v>
      </c>
      <c r="X47" s="5">
        <v>5.6760000000000002</v>
      </c>
      <c r="Y47" s="5">
        <v>2.6789999999999998</v>
      </c>
      <c r="Z47" s="5">
        <v>3.1859999999999999</v>
      </c>
      <c r="AA47" s="5">
        <v>1.9319999999999999</v>
      </c>
      <c r="AB47" s="5">
        <v>1.6379999999999999</v>
      </c>
      <c r="AC47" s="5">
        <v>2.145</v>
      </c>
      <c r="AD47" s="7"/>
    </row>
    <row r="48" spans="1:30" x14ac:dyDescent="0.3">
      <c r="A48" s="2" t="s">
        <v>32</v>
      </c>
      <c r="B48" s="3" t="s">
        <v>33</v>
      </c>
      <c r="C48" s="2" t="s">
        <v>23</v>
      </c>
      <c r="D48" s="2" t="s">
        <v>11</v>
      </c>
      <c r="E48" s="5">
        <v>3.7000000816440801</v>
      </c>
      <c r="F48" s="5">
        <v>4.0000001280791899</v>
      </c>
      <c r="G48" s="5">
        <v>4.4999995590033102</v>
      </c>
      <c r="H48" s="5">
        <v>5.2000001331009997</v>
      </c>
      <c r="I48" s="5">
        <v>5.5999999907744504</v>
      </c>
      <c r="J48" s="5">
        <v>5.9000038185510402</v>
      </c>
      <c r="K48" s="5">
        <v>6.3999126061803402</v>
      </c>
      <c r="L48" s="5">
        <v>4.3468191044007902</v>
      </c>
      <c r="M48" s="5">
        <v>9.1497989383181704</v>
      </c>
      <c r="N48" s="5">
        <v>4.8444870517507601</v>
      </c>
      <c r="O48" s="5">
        <v>7.8997119405162097</v>
      </c>
      <c r="P48" s="5">
        <v>14.047123580314899</v>
      </c>
      <c r="Q48" s="5">
        <v>9.2927894063004999</v>
      </c>
      <c r="R48" s="5">
        <v>7.3125250167814499</v>
      </c>
      <c r="S48" s="5">
        <v>2.8562401633088301</v>
      </c>
      <c r="T48" s="5">
        <v>2.1207593381733401</v>
      </c>
      <c r="U48" s="5">
        <v>3.3734657496693599</v>
      </c>
      <c r="V48" s="5">
        <v>8.1288948810095594</v>
      </c>
      <c r="W48" s="5">
        <v>6.20007768127285</v>
      </c>
      <c r="X48" s="5">
        <v>6.5077747939151998</v>
      </c>
      <c r="Y48" s="5">
        <v>0.51394167062817098</v>
      </c>
      <c r="Z48" s="5">
        <v>5.0764664353354201</v>
      </c>
      <c r="AA48" s="5">
        <v>3.8048498095216399</v>
      </c>
      <c r="AB48" s="5">
        <v>3.14009099763754</v>
      </c>
      <c r="AC48" s="5">
        <v>5.5904546959326602</v>
      </c>
      <c r="AD48" s="7"/>
    </row>
    <row r="49" spans="1:30" x14ac:dyDescent="0.3">
      <c r="A49" s="2" t="s">
        <v>34</v>
      </c>
      <c r="B49" s="3" t="s">
        <v>35</v>
      </c>
      <c r="C49" s="2" t="s">
        <v>23</v>
      </c>
      <c r="D49" s="2" t="s">
        <v>8</v>
      </c>
      <c r="E49" s="4">
        <v>9942000</v>
      </c>
      <c r="F49" s="4">
        <v>1677000</v>
      </c>
      <c r="G49" s="4">
        <v>30000000</v>
      </c>
      <c r="H49" s="4">
        <v>78966000</v>
      </c>
      <c r="I49" s="4">
        <v>97900000</v>
      </c>
      <c r="J49" s="4">
        <v>105000000</v>
      </c>
      <c r="K49" s="4">
        <v>125000000</v>
      </c>
      <c r="L49" s="4">
        <v>385900000</v>
      </c>
      <c r="M49" s="4">
        <v>381880000</v>
      </c>
      <c r="N49" s="4">
        <v>91030000</v>
      </c>
      <c r="O49" s="10" t="s">
        <v>14</v>
      </c>
      <c r="P49" s="4">
        <v>956060000</v>
      </c>
      <c r="Q49" s="4">
        <v>605560000</v>
      </c>
      <c r="R49" s="4">
        <v>189999.99999999901</v>
      </c>
      <c r="S49" s="4">
        <v>-73758603.663593307</v>
      </c>
      <c r="T49" s="4">
        <v>53272458.421299301</v>
      </c>
      <c r="U49" s="4">
        <v>1618447260.2648499</v>
      </c>
      <c r="V49" s="4">
        <v>577590000</v>
      </c>
      <c r="W49" s="4">
        <v>352760000</v>
      </c>
      <c r="X49" s="4">
        <v>44400000</v>
      </c>
      <c r="Y49" s="4">
        <v>176350000</v>
      </c>
      <c r="Z49" s="4">
        <v>197610000</v>
      </c>
      <c r="AA49" s="4">
        <v>658300000</v>
      </c>
      <c r="AB49" s="4">
        <v>1314930000</v>
      </c>
      <c r="AC49" s="4">
        <v>1401830000</v>
      </c>
      <c r="AD49" s="7"/>
    </row>
    <row r="50" spans="1:30" x14ac:dyDescent="0.3">
      <c r="A50" s="2" t="s">
        <v>34</v>
      </c>
      <c r="B50" s="3" t="s">
        <v>35</v>
      </c>
      <c r="C50" s="2" t="s">
        <v>23</v>
      </c>
      <c r="D50" s="2" t="s">
        <v>9</v>
      </c>
      <c r="E50" s="4">
        <v>518.15706692402603</v>
      </c>
      <c r="F50" s="4">
        <v>483.08512021474098</v>
      </c>
      <c r="G50" s="4">
        <v>495.91607355926902</v>
      </c>
      <c r="H50" s="4">
        <v>566.48540588067999</v>
      </c>
      <c r="I50" s="4">
        <v>584.89774053808105</v>
      </c>
      <c r="J50" s="4">
        <v>463.17768685098002</v>
      </c>
      <c r="K50" s="4">
        <v>446.98055413501299</v>
      </c>
      <c r="L50" s="4">
        <v>650.14857530474296</v>
      </c>
      <c r="M50" s="4">
        <v>703.53282578436904</v>
      </c>
      <c r="N50" s="4">
        <v>662.18591466557496</v>
      </c>
      <c r="O50" s="4">
        <v>659.23532621131505</v>
      </c>
      <c r="P50" s="4">
        <v>636.694958747648</v>
      </c>
      <c r="Q50" s="4">
        <v>699.35337721219696</v>
      </c>
      <c r="R50" s="4">
        <v>748.45502082473399</v>
      </c>
      <c r="S50" s="4">
        <v>765.14699938927902</v>
      </c>
      <c r="T50" s="4">
        <v>747.35696675944803</v>
      </c>
      <c r="U50" s="4">
        <v>711.99650978231602</v>
      </c>
      <c r="V50" s="4">
        <v>833.59862169112102</v>
      </c>
      <c r="W50" s="4">
        <v>933.27361563370505</v>
      </c>
      <c r="X50" s="4">
        <v>1031.3414648073201</v>
      </c>
      <c r="Y50" s="4">
        <v>1053.66097696415</v>
      </c>
      <c r="Z50" s="4">
        <v>1244.96550477914</v>
      </c>
      <c r="AA50" s="4">
        <v>1416.5961201176401</v>
      </c>
      <c r="AB50" s="4">
        <v>1555.4937580686101</v>
      </c>
      <c r="AC50" s="4">
        <v>1694.9537586219301</v>
      </c>
      <c r="AD50" s="7"/>
    </row>
    <row r="51" spans="1:30" x14ac:dyDescent="0.3">
      <c r="A51" s="2" t="s">
        <v>34</v>
      </c>
      <c r="B51" s="3" t="s">
        <v>35</v>
      </c>
      <c r="C51" s="2" t="s">
        <v>23</v>
      </c>
      <c r="D51" s="2" t="s">
        <v>10</v>
      </c>
      <c r="E51" s="5">
        <v>0.22800000000000001</v>
      </c>
      <c r="F51" s="5">
        <v>4.1000000000000002E-2</v>
      </c>
      <c r="G51" s="5">
        <v>0.69699999999999995</v>
      </c>
      <c r="H51" s="5">
        <v>1.571</v>
      </c>
      <c r="I51" s="5">
        <v>1.847</v>
      </c>
      <c r="J51" s="5">
        <v>2.452</v>
      </c>
      <c r="K51" s="5">
        <v>2.9620000000000002</v>
      </c>
      <c r="L51" s="5">
        <v>6.1429999999999998</v>
      </c>
      <c r="M51" s="5">
        <v>5.4829999999999997</v>
      </c>
      <c r="N51" s="5">
        <v>1.355</v>
      </c>
      <c r="O51" s="10" t="s">
        <v>14</v>
      </c>
      <c r="P51" s="5">
        <v>14.090999999999999</v>
      </c>
      <c r="Q51" s="5">
        <v>7.9279999999999999</v>
      </c>
      <c r="R51" s="5">
        <v>2E-3</v>
      </c>
      <c r="S51" s="5">
        <v>-0.84</v>
      </c>
      <c r="T51" s="5">
        <v>0.60599999999999998</v>
      </c>
      <c r="U51" s="5">
        <v>18.827999999999999</v>
      </c>
      <c r="V51" s="5">
        <v>5.5940000000000003</v>
      </c>
      <c r="W51" s="5">
        <v>2.9750000000000001</v>
      </c>
      <c r="X51" s="5">
        <v>0.33</v>
      </c>
      <c r="Y51" s="5">
        <v>1.252</v>
      </c>
      <c r="Z51" s="5">
        <v>1.1579999999999999</v>
      </c>
      <c r="AA51" s="5">
        <v>3.306</v>
      </c>
      <c r="AB51" s="5">
        <v>5.8680000000000003</v>
      </c>
      <c r="AC51" s="5">
        <v>5.6050000000000004</v>
      </c>
      <c r="AD51" s="7"/>
    </row>
    <row r="52" spans="1:30" x14ac:dyDescent="0.3">
      <c r="A52" s="2" t="s">
        <v>34</v>
      </c>
      <c r="B52" s="3" t="s">
        <v>35</v>
      </c>
      <c r="C52" s="2" t="s">
        <v>23</v>
      </c>
      <c r="D52" s="2" t="s">
        <v>11</v>
      </c>
      <c r="E52" s="5">
        <v>2.5030605629960698</v>
      </c>
      <c r="F52" s="5">
        <v>3.6583464692958598</v>
      </c>
      <c r="G52" s="5">
        <v>5.1646094669663096</v>
      </c>
      <c r="H52" s="5">
        <v>1.24860125923698</v>
      </c>
      <c r="I52" s="5">
        <v>2.34011731288737</v>
      </c>
      <c r="J52" s="5">
        <v>2.9972725627581802</v>
      </c>
      <c r="K52" s="5">
        <v>1.18960211693242</v>
      </c>
      <c r="L52" s="5">
        <v>6.8174711107028099</v>
      </c>
      <c r="M52" s="5">
        <v>4.1330161596583297</v>
      </c>
      <c r="N52" s="5">
        <v>-1.12264204848687</v>
      </c>
      <c r="O52" s="5">
        <v>4.8133601696755299</v>
      </c>
      <c r="P52" s="5">
        <v>5.6121117743097502</v>
      </c>
      <c r="Q52" s="5">
        <v>5.91528626133322</v>
      </c>
      <c r="R52" s="5">
        <v>3.9456870862405302</v>
      </c>
      <c r="S52" s="5">
        <v>3.6965531166408598</v>
      </c>
      <c r="T52" s="5">
        <v>3.8259105694943498</v>
      </c>
      <c r="U52" s="5">
        <v>10.820627196589999</v>
      </c>
      <c r="V52" s="5">
        <v>10.300005342735499</v>
      </c>
      <c r="W52" s="5">
        <v>6.3584919273671598</v>
      </c>
      <c r="X52" s="5">
        <v>5.6169144688987602</v>
      </c>
      <c r="Y52" s="5">
        <v>4.7045909611357501</v>
      </c>
      <c r="Z52" s="5">
        <v>5.5823328114904998</v>
      </c>
      <c r="AA52" s="5">
        <v>3.97240784200722</v>
      </c>
      <c r="AB52" s="5">
        <v>5.5417266862770198</v>
      </c>
      <c r="AC52" s="5">
        <v>5.3500465905170804</v>
      </c>
      <c r="AD52" s="7"/>
    </row>
    <row r="53" spans="1:30" x14ac:dyDescent="0.3">
      <c r="A53" s="2" t="s">
        <v>36</v>
      </c>
      <c r="B53" s="3" t="s">
        <v>37</v>
      </c>
      <c r="C53" s="2" t="s">
        <v>23</v>
      </c>
      <c r="D53" s="2" t="s">
        <v>8</v>
      </c>
      <c r="E53" s="4">
        <v>702270</v>
      </c>
      <c r="F53" s="4">
        <v>395613.59628861502</v>
      </c>
      <c r="G53" s="4">
        <v>3545253.6889372398</v>
      </c>
      <c r="H53" s="4">
        <v>4005503.6868821699</v>
      </c>
      <c r="I53" s="4">
        <v>1915633.35188715</v>
      </c>
      <c r="J53" s="4">
        <v>8692468.0897568408</v>
      </c>
      <c r="K53" s="4">
        <v>17887123.562082801</v>
      </c>
      <c r="L53" s="4">
        <v>18770117.491920002</v>
      </c>
      <c r="M53" s="4">
        <v>6630074.0277576204</v>
      </c>
      <c r="N53" s="4">
        <v>18890200</v>
      </c>
      <c r="O53" s="4">
        <v>26240200</v>
      </c>
      <c r="P53" s="4">
        <v>25024047.388377</v>
      </c>
      <c r="Q53" s="4">
        <v>6624917.1927453401</v>
      </c>
      <c r="R53" s="4">
        <v>19639703.798381101</v>
      </c>
      <c r="S53" s="4">
        <v>28852727.688227799</v>
      </c>
      <c r="T53" s="4">
        <v>18575499.447812699</v>
      </c>
      <c r="U53" s="4">
        <v>23998591.370902799</v>
      </c>
      <c r="V53" s="4">
        <v>15691197.9520896</v>
      </c>
      <c r="W53" s="4">
        <v>20563818.217400402</v>
      </c>
      <c r="X53" s="4">
        <v>71658680.337990105</v>
      </c>
      <c r="Y53" s="4">
        <v>20989721.6146961</v>
      </c>
      <c r="Z53" s="4">
        <v>18529723.354594499</v>
      </c>
      <c r="AA53" s="4">
        <v>21658003.8438931</v>
      </c>
      <c r="AB53" s="4">
        <v>25133300.821265701</v>
      </c>
      <c r="AC53" s="4">
        <v>26650161.325104401</v>
      </c>
      <c r="AD53" s="7"/>
    </row>
    <row r="54" spans="1:30" x14ac:dyDescent="0.3">
      <c r="A54" s="2" t="s">
        <v>36</v>
      </c>
      <c r="B54" s="3" t="s">
        <v>37</v>
      </c>
      <c r="C54" s="2" t="s">
        <v>23</v>
      </c>
      <c r="D54" s="2" t="s">
        <v>9</v>
      </c>
      <c r="E54" s="4">
        <v>316.94549503763898</v>
      </c>
      <c r="F54" s="4">
        <v>327.13843197239697</v>
      </c>
      <c r="G54" s="4">
        <v>362.03457457035398</v>
      </c>
      <c r="H54" s="4">
        <v>419.78486611807</v>
      </c>
      <c r="I54" s="4">
        <v>431.376557669634</v>
      </c>
      <c r="J54" s="4">
        <v>463.07396265045202</v>
      </c>
      <c r="K54" s="4">
        <v>448.51307546970099</v>
      </c>
      <c r="L54" s="4">
        <v>519.06978979474104</v>
      </c>
      <c r="M54" s="4">
        <v>640.21033110175301</v>
      </c>
      <c r="N54" s="4">
        <v>583.19002013909403</v>
      </c>
      <c r="O54" s="4">
        <v>600.19429854076805</v>
      </c>
      <c r="P54" s="4">
        <v>719.53957349893699</v>
      </c>
      <c r="Q54" s="4">
        <v>635.46165330388101</v>
      </c>
      <c r="R54" s="4">
        <v>654.30453440941699</v>
      </c>
      <c r="S54" s="4">
        <v>652.02250102944902</v>
      </c>
      <c r="T54" s="4">
        <v>645.06683720703904</v>
      </c>
      <c r="U54" s="4">
        <v>679.66538662681796</v>
      </c>
      <c r="V54" s="4">
        <v>783.12318660202197</v>
      </c>
      <c r="W54" s="4">
        <v>808.53161321850405</v>
      </c>
      <c r="X54" s="4">
        <v>811.21642588512896</v>
      </c>
      <c r="Y54" s="4">
        <v>846.91585571597102</v>
      </c>
      <c r="Z54" s="4">
        <v>926.78092108123303</v>
      </c>
      <c r="AA54" s="4">
        <v>883.19913145783096</v>
      </c>
      <c r="AB54" s="4">
        <v>988.08788635702194</v>
      </c>
      <c r="AC54" s="4">
        <v>1007.74151728028</v>
      </c>
      <c r="AD54" s="7"/>
    </row>
    <row r="55" spans="1:30" x14ac:dyDescent="0.3">
      <c r="A55" s="2" t="s">
        <v>36</v>
      </c>
      <c r="B55" s="3" t="s">
        <v>37</v>
      </c>
      <c r="C55" s="2" t="s">
        <v>23</v>
      </c>
      <c r="D55" s="2" t="s">
        <v>10</v>
      </c>
      <c r="E55" s="5">
        <v>0.17899999999999999</v>
      </c>
      <c r="F55" s="5">
        <v>9.6000000000000002E-2</v>
      </c>
      <c r="G55" s="5">
        <v>0.76</v>
      </c>
      <c r="H55" s="5">
        <v>0.72399999999999998</v>
      </c>
      <c r="I55" s="5">
        <v>0.32900000000000001</v>
      </c>
      <c r="J55" s="5">
        <v>1.359</v>
      </c>
      <c r="K55" s="5">
        <v>2.8180000000000001</v>
      </c>
      <c r="L55" s="5">
        <v>2.492</v>
      </c>
      <c r="M55" s="5">
        <v>0.69599999999999995</v>
      </c>
      <c r="N55" s="5">
        <v>2.1219999999999999</v>
      </c>
      <c r="O55" s="5">
        <v>2.7909999999999999</v>
      </c>
      <c r="P55" s="5">
        <v>2.1629999999999998</v>
      </c>
      <c r="Q55" s="5">
        <v>0.63100000000000001</v>
      </c>
      <c r="R55" s="5">
        <v>1.77</v>
      </c>
      <c r="S55" s="5">
        <v>2.5419999999999998</v>
      </c>
      <c r="T55" s="5">
        <v>1.6120000000000001</v>
      </c>
      <c r="U55" s="5">
        <v>1.927</v>
      </c>
      <c r="V55" s="5">
        <v>1.0669999999999999</v>
      </c>
      <c r="W55" s="5">
        <v>1.323</v>
      </c>
      <c r="X55" s="5">
        <v>4.4889999999999999</v>
      </c>
      <c r="Y55" s="5">
        <v>1.2310000000000001</v>
      </c>
      <c r="Z55" s="5">
        <v>0.97099999999999997</v>
      </c>
      <c r="AA55" s="5">
        <v>1.165</v>
      </c>
      <c r="AB55" s="5">
        <v>1.181</v>
      </c>
      <c r="AC55" s="5">
        <v>1.2010000000000001</v>
      </c>
      <c r="AD55" s="7"/>
    </row>
    <row r="56" spans="1:30" x14ac:dyDescent="0.3">
      <c r="A56" s="2" t="s">
        <v>36</v>
      </c>
      <c r="B56" s="3" t="s">
        <v>37</v>
      </c>
      <c r="C56" s="2" t="s">
        <v>23</v>
      </c>
      <c r="D56" s="2" t="s">
        <v>11</v>
      </c>
      <c r="E56" s="5">
        <v>1.10027815777423</v>
      </c>
      <c r="F56" s="5">
        <v>4.7859716500482001</v>
      </c>
      <c r="G56" s="5">
        <v>3.6539360364271301</v>
      </c>
      <c r="H56" s="5">
        <v>-0.285931052286514</v>
      </c>
      <c r="I56" s="5">
        <v>1.1718915227703799</v>
      </c>
      <c r="J56" s="5">
        <v>6.5597711184607697</v>
      </c>
      <c r="K56" s="5">
        <v>2.66650493269572</v>
      </c>
      <c r="L56" s="5">
        <v>2.55982647078751</v>
      </c>
      <c r="M56" s="5">
        <v>4.5245751461025199</v>
      </c>
      <c r="N56" s="5">
        <v>2.44795106098685</v>
      </c>
      <c r="O56" s="5">
        <v>5.6053631135826096</v>
      </c>
      <c r="P56" s="5">
        <v>8.0850416717355404</v>
      </c>
      <c r="Q56" s="5">
        <v>-1.7128695844641899</v>
      </c>
      <c r="R56" s="5">
        <v>3.25607190852087</v>
      </c>
      <c r="S56" s="5">
        <v>0.96452574584142803</v>
      </c>
      <c r="T56" s="5">
        <v>6.1340893623122996</v>
      </c>
      <c r="U56" s="5">
        <v>5.4326782650304004</v>
      </c>
      <c r="V56" s="5">
        <v>4.6636794391326397</v>
      </c>
      <c r="W56" s="5">
        <v>3.7614535963700302</v>
      </c>
      <c r="X56" s="5">
        <v>5.32749571119344</v>
      </c>
      <c r="Y56" s="5">
        <v>2.8913981495299499</v>
      </c>
      <c r="Z56" s="5">
        <v>5.0505583124440099</v>
      </c>
      <c r="AA56" s="5">
        <v>5.5298725305835204</v>
      </c>
      <c r="AB56" s="5">
        <v>5.82749502627256</v>
      </c>
      <c r="AC56" s="5">
        <v>4.1463113721733196</v>
      </c>
      <c r="AD56" s="7"/>
    </row>
    <row r="57" spans="1:30" x14ac:dyDescent="0.3">
      <c r="A57" s="2" t="s">
        <v>38</v>
      </c>
      <c r="B57" s="3" t="s">
        <v>39</v>
      </c>
      <c r="C57" s="2" t="s">
        <v>23</v>
      </c>
      <c r="D57" s="2" t="s">
        <v>8</v>
      </c>
      <c r="E57" s="4">
        <v>20800000</v>
      </c>
      <c r="F57" s="4">
        <v>8300000</v>
      </c>
      <c r="G57" s="4">
        <v>2800000</v>
      </c>
      <c r="H57" s="4">
        <v>372220000</v>
      </c>
      <c r="I57" s="4">
        <v>75351731.649542898</v>
      </c>
      <c r="J57" s="4">
        <v>82802111.438060895</v>
      </c>
      <c r="K57" s="4">
        <v>107856671.53394</v>
      </c>
      <c r="L57" s="4">
        <v>131637661.595465</v>
      </c>
      <c r="M57" s="4">
        <v>283536077.408014</v>
      </c>
      <c r="N57" s="4">
        <v>127803424.522852</v>
      </c>
      <c r="O57" s="4">
        <v>2064680994.2386799</v>
      </c>
      <c r="P57" s="4">
        <v>2086006933.3333299</v>
      </c>
      <c r="Q57" s="4">
        <v>2309981241.25</v>
      </c>
      <c r="R57" s="4">
        <v>1998675365.6600001</v>
      </c>
      <c r="S57" s="4">
        <v>501870828.62042397</v>
      </c>
      <c r="T57" s="4">
        <v>232679832.47377899</v>
      </c>
      <c r="U57" s="4">
        <v>311699760.32287401</v>
      </c>
      <c r="V57" s="4">
        <v>247842983.01404899</v>
      </c>
      <c r="W57" s="4">
        <v>129129754.83329301</v>
      </c>
      <c r="X57" s="4">
        <v>86681700.459676206</v>
      </c>
      <c r="Y57" s="4">
        <v>-94014462.195999995</v>
      </c>
      <c r="Z57" s="4">
        <v>-39290946.93</v>
      </c>
      <c r="AA57" s="4">
        <v>123765393.588</v>
      </c>
      <c r="AB57" s="4">
        <v>312281351.86199999</v>
      </c>
      <c r="AC57" s="4">
        <v>471538316.99677002</v>
      </c>
      <c r="AD57" s="7"/>
    </row>
    <row r="58" spans="1:30" x14ac:dyDescent="0.3">
      <c r="A58" s="2" t="s">
        <v>38</v>
      </c>
      <c r="B58" s="3" t="s">
        <v>39</v>
      </c>
      <c r="C58" s="2" t="s">
        <v>23</v>
      </c>
      <c r="D58" s="2" t="s">
        <v>9</v>
      </c>
      <c r="E58" s="4">
        <v>298.48534057894602</v>
      </c>
      <c r="F58" s="4">
        <v>300.46382859898301</v>
      </c>
      <c r="G58" s="4">
        <v>299.53644553962101</v>
      </c>
      <c r="H58" s="4">
        <v>239.77955667709099</v>
      </c>
      <c r="I58" s="4">
        <v>284.140223992458</v>
      </c>
      <c r="J58" s="4">
        <v>287.487333441381</v>
      </c>
      <c r="K58" s="4">
        <v>320.55808618514999</v>
      </c>
      <c r="L58" s="4">
        <v>374.21130810427798</v>
      </c>
      <c r="M58" s="4">
        <v>451.713856283285</v>
      </c>
      <c r="N58" s="4">
        <v>448.38636702554498</v>
      </c>
      <c r="O58" s="4">
        <v>492.25280803372402</v>
      </c>
      <c r="P58" s="4">
        <v>568.08786552000402</v>
      </c>
      <c r="Q58" s="4">
        <v>638.36875146208297</v>
      </c>
      <c r="R58" s="4">
        <v>710.74457092786304</v>
      </c>
      <c r="S58" s="4">
        <v>706.714490064507</v>
      </c>
      <c r="T58" s="4">
        <v>692.59008235125702</v>
      </c>
      <c r="U58" s="4">
        <v>714.613063145659</v>
      </c>
      <c r="V58" s="4">
        <v>699.26909572740396</v>
      </c>
      <c r="W58" s="4">
        <v>692.20312712979398</v>
      </c>
      <c r="X58" s="4">
        <v>658.16418077050696</v>
      </c>
      <c r="Y58" s="4">
        <v>616.78786700671503</v>
      </c>
      <c r="Z58" s="4">
        <v>667.96610514319104</v>
      </c>
      <c r="AA58" s="4">
        <v>744.61717523738696</v>
      </c>
      <c r="AB58" s="4">
        <v>799.19447022964198</v>
      </c>
      <c r="AC58" s="4">
        <v>851.49772387020596</v>
      </c>
      <c r="AD58" s="7"/>
    </row>
    <row r="59" spans="1:30" x14ac:dyDescent="0.3">
      <c r="A59" s="2" t="s">
        <v>38</v>
      </c>
      <c r="B59" s="3" t="s">
        <v>39</v>
      </c>
      <c r="C59" s="2" t="s">
        <v>23</v>
      </c>
      <c r="D59" s="2" t="s">
        <v>10</v>
      </c>
      <c r="E59" s="5">
        <v>2.38</v>
      </c>
      <c r="F59" s="5">
        <v>0.91600000000000004</v>
      </c>
      <c r="G59" s="5">
        <v>0.30199999999999999</v>
      </c>
      <c r="H59" s="5">
        <v>49.762</v>
      </c>
      <c r="I59" s="5">
        <v>8.4</v>
      </c>
      <c r="J59" s="5">
        <v>8.7249999999999996</v>
      </c>
      <c r="K59" s="5">
        <v>9.6389999999999993</v>
      </c>
      <c r="L59" s="5">
        <v>9.5879999999999992</v>
      </c>
      <c r="M59" s="5">
        <v>16.427</v>
      </c>
      <c r="N59" s="5">
        <v>7.2290000000000001</v>
      </c>
      <c r="O59" s="5">
        <v>103.337</v>
      </c>
      <c r="P59" s="5">
        <v>86.989000000000004</v>
      </c>
      <c r="Q59" s="5">
        <v>82.747</v>
      </c>
      <c r="R59" s="5">
        <v>62.906999999999996</v>
      </c>
      <c r="S59" s="5">
        <v>15.558999999999999</v>
      </c>
      <c r="T59" s="5">
        <v>7.21</v>
      </c>
      <c r="U59" s="5">
        <v>9.1720000000000006</v>
      </c>
      <c r="V59" s="5">
        <v>7.3090000000000002</v>
      </c>
      <c r="W59" s="5">
        <v>3.7730000000000001</v>
      </c>
      <c r="X59" s="5">
        <v>2.6110000000000002</v>
      </c>
      <c r="Y59" s="5">
        <v>-2.96</v>
      </c>
      <c r="Z59" s="5">
        <v>-1.1180000000000001</v>
      </c>
      <c r="AA59" s="5">
        <v>3.093</v>
      </c>
      <c r="AB59" s="5">
        <v>7.1130000000000004</v>
      </c>
      <c r="AC59" s="5">
        <v>9.8659999999999997</v>
      </c>
      <c r="AD59" s="7"/>
    </row>
    <row r="60" spans="1:30" x14ac:dyDescent="0.3">
      <c r="A60" s="2" t="s">
        <v>38</v>
      </c>
      <c r="B60" s="3" t="s">
        <v>39</v>
      </c>
      <c r="C60" s="2" t="s">
        <v>23</v>
      </c>
      <c r="D60" s="2" t="s">
        <v>11</v>
      </c>
      <c r="E60" s="5">
        <v>28.615934254618299</v>
      </c>
      <c r="F60" s="5">
        <v>2.9202747656978101</v>
      </c>
      <c r="G60" s="5">
        <v>3.7630176170007101</v>
      </c>
      <c r="H60" s="5">
        <v>-30.145132727941998</v>
      </c>
      <c r="I60" s="5">
        <v>2.6198468947741298</v>
      </c>
      <c r="J60" s="5">
        <v>5.2812124530929498</v>
      </c>
      <c r="K60" s="5">
        <v>8.0439099719005895</v>
      </c>
      <c r="L60" s="5">
        <v>9.5352753628228193</v>
      </c>
      <c r="M60" s="5">
        <v>7.1456911281147599</v>
      </c>
      <c r="N60" s="5">
        <v>5.3005405029153101</v>
      </c>
      <c r="O60" s="5">
        <v>6.0998252400414703</v>
      </c>
      <c r="P60" s="5">
        <v>8.2007682249706502</v>
      </c>
      <c r="Q60" s="5">
        <v>7.9938144455536699</v>
      </c>
      <c r="R60" s="5">
        <v>8.6872878163968306</v>
      </c>
      <c r="S60" s="5">
        <v>0.701393100287518</v>
      </c>
      <c r="T60" s="5">
        <v>-1.85649695590939E-2</v>
      </c>
      <c r="U60" s="5">
        <v>-1.5549586174878001</v>
      </c>
      <c r="V60" s="5">
        <v>2.4551559201223898</v>
      </c>
      <c r="W60" s="5">
        <v>1.15757512207355</v>
      </c>
      <c r="X60" s="5">
        <v>-2.4672976353268599</v>
      </c>
      <c r="Y60" s="5">
        <v>-2.9824912764947298</v>
      </c>
      <c r="Z60" s="5">
        <v>4.9867128348161698</v>
      </c>
      <c r="AA60" s="5">
        <v>4.8081051729065498</v>
      </c>
      <c r="AB60" s="5">
        <v>4.6837568876131099</v>
      </c>
      <c r="AC60" s="5">
        <v>4.0218546496483496</v>
      </c>
      <c r="AD60" s="7"/>
    </row>
    <row r="61" spans="1:30" x14ac:dyDescent="0.3">
      <c r="A61" s="2" t="s">
        <v>40</v>
      </c>
      <c r="B61" s="3" t="s">
        <v>41</v>
      </c>
      <c r="C61" s="2" t="s">
        <v>23</v>
      </c>
      <c r="D61" s="2" t="s">
        <v>8</v>
      </c>
      <c r="E61" s="4">
        <v>60331623.110039398</v>
      </c>
      <c r="F61" s="4">
        <v>208998473.655231</v>
      </c>
      <c r="G61" s="4">
        <v>-12371106.2038469</v>
      </c>
      <c r="H61" s="4">
        <v>72517997.325087398</v>
      </c>
      <c r="I61" s="4">
        <v>84992921.533143103</v>
      </c>
      <c r="J61" s="4">
        <v>160281952.808321</v>
      </c>
      <c r="K61" s="4">
        <v>148327333.70524901</v>
      </c>
      <c r="L61" s="4">
        <v>206337322.64910799</v>
      </c>
      <c r="M61" s="4">
        <v>267511185.910909</v>
      </c>
      <c r="N61" s="4">
        <v>649211715.16863894</v>
      </c>
      <c r="O61" s="4">
        <v>371932364.723095</v>
      </c>
      <c r="P61" s="4">
        <v>556875894.54428899</v>
      </c>
      <c r="Q61" s="4">
        <v>397842480.25392097</v>
      </c>
      <c r="R61" s="4">
        <v>307940910.77401203</v>
      </c>
      <c r="S61" s="4">
        <v>144214831.23699999</v>
      </c>
      <c r="T61" s="4">
        <v>275525536.04037601</v>
      </c>
      <c r="U61" s="4">
        <v>356476591.90258199</v>
      </c>
      <c r="V61" s="4">
        <v>560747464.36876404</v>
      </c>
      <c r="W61" s="4">
        <v>467295391.07783902</v>
      </c>
      <c r="X61" s="4">
        <v>859091549.18896604</v>
      </c>
      <c r="Y61" s="4">
        <v>536851812.89727497</v>
      </c>
      <c r="Z61" s="4">
        <v>639944165.35895896</v>
      </c>
      <c r="AA61" s="4">
        <v>715469994.85230696</v>
      </c>
      <c r="AB61" s="4">
        <v>702559730.16035402</v>
      </c>
      <c r="AC61" s="4">
        <v>921044497.58604503</v>
      </c>
      <c r="AD61" s="7"/>
    </row>
    <row r="62" spans="1:30" x14ac:dyDescent="0.3">
      <c r="A62" s="2" t="s">
        <v>40</v>
      </c>
      <c r="B62" s="3" t="s">
        <v>41</v>
      </c>
      <c r="C62" s="2" t="s">
        <v>23</v>
      </c>
      <c r="D62" s="2" t="s">
        <v>9</v>
      </c>
      <c r="E62" s="4">
        <v>304.65287019427097</v>
      </c>
      <c r="F62" s="4">
        <v>346.22455425102203</v>
      </c>
      <c r="G62" s="4">
        <v>378.19167862828499</v>
      </c>
      <c r="H62" s="4">
        <v>441.91035847509499</v>
      </c>
      <c r="I62" s="4">
        <v>495.00629468064602</v>
      </c>
      <c r="J62" s="4">
        <v>548.73038284272502</v>
      </c>
      <c r="K62" s="4">
        <v>586.98541551526398</v>
      </c>
      <c r="L62" s="4">
        <v>670.853394973479</v>
      </c>
      <c r="M62" s="4">
        <v>767.19483895009</v>
      </c>
      <c r="N62" s="4">
        <v>787.48256428739796</v>
      </c>
      <c r="O62" s="4">
        <v>797.15154113510903</v>
      </c>
      <c r="P62" s="4">
        <v>938.29290258369599</v>
      </c>
      <c r="Q62" s="4">
        <v>872.50609246556405</v>
      </c>
      <c r="R62" s="4">
        <v>901.92095764483099</v>
      </c>
      <c r="S62" s="4">
        <v>947.91503328832505</v>
      </c>
      <c r="T62" s="4">
        <v>838.11986940102997</v>
      </c>
      <c r="U62" s="4">
        <v>872.46858717165298</v>
      </c>
      <c r="V62" s="4">
        <v>924.05753169228399</v>
      </c>
      <c r="W62" s="4">
        <v>996.37929213690097</v>
      </c>
      <c r="X62" s="4">
        <v>971.949318638092</v>
      </c>
      <c r="Y62" s="4">
        <v>953.24294329097404</v>
      </c>
      <c r="Z62" s="4">
        <v>1027.27345365357</v>
      </c>
      <c r="AA62" s="4">
        <v>976.91411640645197</v>
      </c>
      <c r="AB62" s="4">
        <v>1043.9533853528001</v>
      </c>
      <c r="AC62" s="4">
        <v>1094.6194926579899</v>
      </c>
      <c r="AD62" s="7"/>
    </row>
    <row r="63" spans="1:30" x14ac:dyDescent="0.3">
      <c r="A63" s="2" t="s">
        <v>40</v>
      </c>
      <c r="B63" s="3" t="s">
        <v>41</v>
      </c>
      <c r="C63" s="2" t="s">
        <v>23</v>
      </c>
      <c r="D63" s="2" t="s">
        <v>10</v>
      </c>
      <c r="E63" s="5">
        <v>1.7130000000000001</v>
      </c>
      <c r="F63" s="5">
        <v>5.0679999999999996</v>
      </c>
      <c r="G63" s="5">
        <v>-0.26600000000000001</v>
      </c>
      <c r="H63" s="5">
        <v>1.294</v>
      </c>
      <c r="I63" s="5">
        <v>1.31</v>
      </c>
      <c r="J63" s="5">
        <v>2.157</v>
      </c>
      <c r="K63" s="5">
        <v>1.806</v>
      </c>
      <c r="L63" s="5">
        <v>2.1269999999999998</v>
      </c>
      <c r="M63" s="5">
        <v>2.3340000000000001</v>
      </c>
      <c r="N63" s="5">
        <v>5.3410000000000002</v>
      </c>
      <c r="O63" s="5">
        <v>2.9260000000000002</v>
      </c>
      <c r="P63" s="5">
        <v>3.6040000000000001</v>
      </c>
      <c r="Q63" s="5">
        <v>2.6890000000000001</v>
      </c>
      <c r="R63" s="5">
        <v>1.956</v>
      </c>
      <c r="S63" s="5">
        <v>0.84399999999999997</v>
      </c>
      <c r="T63" s="5">
        <v>1.768</v>
      </c>
      <c r="U63" s="5">
        <v>2.129</v>
      </c>
      <c r="V63" s="5">
        <v>3.0630000000000002</v>
      </c>
      <c r="W63" s="5">
        <v>2.294</v>
      </c>
      <c r="X63" s="5">
        <v>4.1950000000000003</v>
      </c>
      <c r="Y63" s="5">
        <v>2.5939999999999999</v>
      </c>
      <c r="Z63" s="5">
        <v>2.782</v>
      </c>
      <c r="AA63" s="5">
        <v>3.1739999999999999</v>
      </c>
      <c r="AB63" s="5">
        <v>2.831</v>
      </c>
      <c r="AC63" s="5">
        <v>3.4369999999999998</v>
      </c>
      <c r="AD63" s="7"/>
    </row>
    <row r="64" spans="1:30" x14ac:dyDescent="0.3">
      <c r="A64" s="2" t="s">
        <v>40</v>
      </c>
      <c r="B64" s="3" t="s">
        <v>41</v>
      </c>
      <c r="C64" s="2" t="s">
        <v>23</v>
      </c>
      <c r="D64" s="2" t="s">
        <v>11</v>
      </c>
      <c r="E64" s="5">
        <v>-0.73601999192717904</v>
      </c>
      <c r="F64" s="5">
        <v>15.8060317406145</v>
      </c>
      <c r="G64" s="5">
        <v>3.0362754084240602</v>
      </c>
      <c r="H64" s="5">
        <v>9.7971225612934401</v>
      </c>
      <c r="I64" s="5">
        <v>1.4773249022261401</v>
      </c>
      <c r="J64" s="5">
        <v>2.5383783486717899</v>
      </c>
      <c r="K64" s="5">
        <v>3.6896026526873</v>
      </c>
      <c r="L64" s="5">
        <v>1.76004607889122</v>
      </c>
      <c r="M64" s="5">
        <v>3.6387107095542599</v>
      </c>
      <c r="N64" s="5">
        <v>5.4547356257758501</v>
      </c>
      <c r="O64" s="5">
        <v>5.5767885983806202</v>
      </c>
      <c r="P64" s="5">
        <v>2.93537897086446</v>
      </c>
      <c r="Q64" s="5">
        <v>-1.0723992413297201</v>
      </c>
      <c r="R64" s="5">
        <v>3.29068742019345</v>
      </c>
      <c r="S64" s="5">
        <v>6.5026387840968498</v>
      </c>
      <c r="T64" s="5">
        <v>6.2388789019745499</v>
      </c>
      <c r="U64" s="5">
        <v>6.0050630855949798</v>
      </c>
      <c r="V64" s="5">
        <v>5.3755476963995203</v>
      </c>
      <c r="W64" s="5">
        <v>4.86784999991505</v>
      </c>
      <c r="X64" s="5">
        <v>4.9999991160881798</v>
      </c>
      <c r="Y64" s="5">
        <v>-1.1691083482860301</v>
      </c>
      <c r="Z64" s="5">
        <v>3.10094124444834</v>
      </c>
      <c r="AA64" s="5">
        <v>3.7031902759556798</v>
      </c>
      <c r="AB64" s="5">
        <v>4.7254110908037603</v>
      </c>
      <c r="AC64" s="5">
        <v>4.9922691748292198</v>
      </c>
      <c r="AD64" s="7"/>
    </row>
    <row r="65" spans="1:30" x14ac:dyDescent="0.3">
      <c r="A65" s="2" t="s">
        <v>42</v>
      </c>
      <c r="B65" s="3" t="s">
        <v>43</v>
      </c>
      <c r="C65" s="2" t="s">
        <v>23</v>
      </c>
      <c r="D65" s="2" t="s">
        <v>8</v>
      </c>
      <c r="E65" s="4">
        <v>15767212.3689839</v>
      </c>
      <c r="F65" s="4">
        <v>22587455.083808001</v>
      </c>
      <c r="G65" s="4">
        <v>7827441.9350837898</v>
      </c>
      <c r="H65" s="4">
        <v>18529138.97363</v>
      </c>
      <c r="I65" s="4">
        <v>24411286.900851201</v>
      </c>
      <c r="J65" s="4">
        <v>49753596.8290224</v>
      </c>
      <c r="K65" s="4">
        <v>40310044.141164497</v>
      </c>
      <c r="L65" s="4">
        <v>99073671.932166204</v>
      </c>
      <c r="M65" s="4">
        <v>283076206.88646501</v>
      </c>
      <c r="N65" s="4">
        <v>633819197.13475394</v>
      </c>
      <c r="O65" s="4">
        <v>796636157.88331902</v>
      </c>
      <c r="P65" s="4">
        <v>1067186136.05028</v>
      </c>
      <c r="Q65" s="4">
        <v>841227436.91778696</v>
      </c>
      <c r="R65" s="4">
        <v>719338470.49515295</v>
      </c>
      <c r="S65" s="4">
        <v>822967023.29991496</v>
      </c>
      <c r="T65" s="4">
        <v>529476871.09061098</v>
      </c>
      <c r="U65" s="4">
        <v>301332480.59252602</v>
      </c>
      <c r="V65" s="4">
        <v>338710710.13915998</v>
      </c>
      <c r="W65" s="4">
        <v>466042272.99692202</v>
      </c>
      <c r="X65" s="4">
        <v>717147639.39869595</v>
      </c>
      <c r="Y65" s="4">
        <v>360653574.57115197</v>
      </c>
      <c r="Z65" s="4">
        <v>594829131.82450795</v>
      </c>
      <c r="AA65" s="4">
        <v>965975261.17801499</v>
      </c>
      <c r="AB65" s="4">
        <v>1025552444.4300801</v>
      </c>
      <c r="AC65" s="4">
        <v>358083456.49938202</v>
      </c>
      <c r="AD65" s="7"/>
    </row>
    <row r="66" spans="1:30" x14ac:dyDescent="0.3">
      <c r="A66" s="2" t="s">
        <v>42</v>
      </c>
      <c r="B66" s="3" t="s">
        <v>43</v>
      </c>
      <c r="C66" s="2" t="s">
        <v>23</v>
      </c>
      <c r="D66" s="2" t="s">
        <v>9</v>
      </c>
      <c r="E66" s="4">
        <v>194.77195989893499</v>
      </c>
      <c r="F66" s="4">
        <v>205.41793612093099</v>
      </c>
      <c r="G66" s="4">
        <v>225.29439114743801</v>
      </c>
      <c r="H66" s="4">
        <v>265.22536345246903</v>
      </c>
      <c r="I66" s="4">
        <v>283.468281798296</v>
      </c>
      <c r="J66" s="4">
        <v>318.64312191827298</v>
      </c>
      <c r="K66" s="4">
        <v>333.34507841944702</v>
      </c>
      <c r="L66" s="4">
        <v>387.16806588330098</v>
      </c>
      <c r="M66" s="4">
        <v>475.04495539816202</v>
      </c>
      <c r="N66" s="4">
        <v>461.13153396148698</v>
      </c>
      <c r="O66" s="4">
        <v>474.42569234083101</v>
      </c>
      <c r="P66" s="4">
        <v>510.75956176267999</v>
      </c>
      <c r="Q66" s="4">
        <v>528.51010446965495</v>
      </c>
      <c r="R66" s="4">
        <v>552.10333436311703</v>
      </c>
      <c r="S66" s="4">
        <v>565.30989731174998</v>
      </c>
      <c r="T66" s="4">
        <v>485.66257417527902</v>
      </c>
      <c r="U66" s="4">
        <v>502.70647540644597</v>
      </c>
      <c r="V66" s="4">
        <v>521.80413002343505</v>
      </c>
      <c r="W66" s="4">
        <v>578.56803568089197</v>
      </c>
      <c r="X66" s="4">
        <v>561.69130434969804</v>
      </c>
      <c r="Y66" s="4">
        <v>579.51249575823601</v>
      </c>
      <c r="Z66" s="4">
        <v>608.72243959380796</v>
      </c>
      <c r="AA66" s="4">
        <v>609.74514757487805</v>
      </c>
      <c r="AB66" s="4">
        <v>638.33608089788697</v>
      </c>
      <c r="AC66" s="4">
        <v>735.27025578722601</v>
      </c>
      <c r="AD66" s="7"/>
    </row>
    <row r="67" spans="1:30" x14ac:dyDescent="0.3">
      <c r="A67" s="2" t="s">
        <v>42</v>
      </c>
      <c r="B67" s="3" t="s">
        <v>43</v>
      </c>
      <c r="C67" s="2" t="s">
        <v>23</v>
      </c>
      <c r="D67" s="2" t="s">
        <v>10</v>
      </c>
      <c r="E67" s="5">
        <v>0.70299999999999996</v>
      </c>
      <c r="F67" s="5">
        <v>0.92200000000000004</v>
      </c>
      <c r="G67" s="5">
        <v>0.28100000000000003</v>
      </c>
      <c r="H67" s="5">
        <v>0.54600000000000004</v>
      </c>
      <c r="I67" s="5">
        <v>0.64900000000000002</v>
      </c>
      <c r="J67" s="5">
        <v>1.135</v>
      </c>
      <c r="K67" s="5">
        <v>0.84699999999999998</v>
      </c>
      <c r="L67" s="5">
        <v>1.7290000000000001</v>
      </c>
      <c r="M67" s="5">
        <v>3.879</v>
      </c>
      <c r="N67" s="5">
        <v>8.6210000000000004</v>
      </c>
      <c r="O67" s="5">
        <v>10.147</v>
      </c>
      <c r="P67" s="5">
        <v>12.164999999999999</v>
      </c>
      <c r="Q67" s="5">
        <v>8.9239999999999995</v>
      </c>
      <c r="R67" s="5">
        <v>7.0350000000000001</v>
      </c>
      <c r="S67" s="5">
        <v>7.5759999999999996</v>
      </c>
      <c r="T67" s="5">
        <v>5.468</v>
      </c>
      <c r="U67" s="5">
        <v>2.8980000000000001</v>
      </c>
      <c r="V67" s="5">
        <v>3.028</v>
      </c>
      <c r="W67" s="5">
        <v>3.63</v>
      </c>
      <c r="X67" s="5">
        <v>5.5640000000000001</v>
      </c>
      <c r="Y67" s="5">
        <v>2.6240000000000001</v>
      </c>
      <c r="Z67" s="5">
        <v>3.988</v>
      </c>
      <c r="AA67" s="5">
        <v>6.2590000000000003</v>
      </c>
      <c r="AB67" s="5">
        <v>6.141</v>
      </c>
      <c r="AC67" s="5">
        <v>1.802</v>
      </c>
      <c r="AD67" s="7"/>
    </row>
    <row r="68" spans="1:30" x14ac:dyDescent="0.3">
      <c r="A68" s="2" t="s">
        <v>42</v>
      </c>
      <c r="B68" s="3" t="s">
        <v>43</v>
      </c>
      <c r="C68" s="2" t="s">
        <v>23</v>
      </c>
      <c r="D68" s="2" t="s">
        <v>11</v>
      </c>
      <c r="E68" s="5">
        <v>-1.2084777410057499</v>
      </c>
      <c r="F68" s="5">
        <v>7.26813490213235</v>
      </c>
      <c r="G68" s="5">
        <v>4.9184705759462197</v>
      </c>
      <c r="H68" s="5">
        <v>2.1706103837418</v>
      </c>
      <c r="I68" s="5">
        <v>0.36380157872213198</v>
      </c>
      <c r="J68" s="5">
        <v>7.3318688425851697</v>
      </c>
      <c r="K68" s="5">
        <v>5.9310499735034199</v>
      </c>
      <c r="L68" s="5">
        <v>3.1427240838673098</v>
      </c>
      <c r="M68" s="5">
        <v>7.73141422777337</v>
      </c>
      <c r="N68" s="5">
        <v>1.9626009069464501</v>
      </c>
      <c r="O68" s="5">
        <v>8.5781667426225301</v>
      </c>
      <c r="P68" s="5">
        <v>2.35775693603874</v>
      </c>
      <c r="Q68" s="5">
        <v>10.548944576344599</v>
      </c>
      <c r="R68" s="5">
        <v>5.3151306339472599</v>
      </c>
      <c r="S68" s="5">
        <v>6.6421366549560297</v>
      </c>
      <c r="T68" s="5">
        <v>4.3926488320729096</v>
      </c>
      <c r="U68" s="5">
        <v>5.7408931505815701</v>
      </c>
      <c r="V68" s="5">
        <v>5.0053607861554399</v>
      </c>
      <c r="W68" s="5">
        <v>7.2114180276289703</v>
      </c>
      <c r="X68" s="5">
        <v>5.9398525712352201</v>
      </c>
      <c r="Y68" s="5">
        <v>3.5506410943689102</v>
      </c>
      <c r="Z68" s="5">
        <v>1.38359636198477</v>
      </c>
      <c r="AA68" s="5">
        <v>11.900000000027701</v>
      </c>
      <c r="AB68" s="5">
        <v>1.6676340648427901</v>
      </c>
      <c r="AC68" s="5">
        <v>10.300000000779299</v>
      </c>
      <c r="AD68" s="7"/>
    </row>
    <row r="69" spans="1:30" x14ac:dyDescent="0.3">
      <c r="A69" s="2" t="s">
        <v>44</v>
      </c>
      <c r="B69" s="3" t="s">
        <v>45</v>
      </c>
      <c r="C69" s="2" t="s">
        <v>23</v>
      </c>
      <c r="D69" s="2" t="s">
        <v>8</v>
      </c>
      <c r="E69" s="4">
        <v>1140167556.0158899</v>
      </c>
      <c r="F69" s="4">
        <v>1190618643.59161</v>
      </c>
      <c r="G69" s="4">
        <v>1874070753.14013</v>
      </c>
      <c r="H69" s="4">
        <v>2005353563.0639701</v>
      </c>
      <c r="I69" s="4">
        <v>1874060886.9760799</v>
      </c>
      <c r="J69" s="4">
        <v>4982533930.21737</v>
      </c>
      <c r="K69" s="4">
        <v>4854353979.0908203</v>
      </c>
      <c r="L69" s="4">
        <v>6036021404.8206797</v>
      </c>
      <c r="M69" s="4">
        <v>8194071895.4624596</v>
      </c>
      <c r="N69" s="4">
        <v>8555990006.7168102</v>
      </c>
      <c r="O69" s="4">
        <v>6026253091.3471498</v>
      </c>
      <c r="P69" s="4">
        <v>8841062050.7726002</v>
      </c>
      <c r="Q69" s="4">
        <v>7069908427.9364996</v>
      </c>
      <c r="R69" s="4">
        <v>5562857987.4696598</v>
      </c>
      <c r="S69" s="4">
        <v>4693828631.8958302</v>
      </c>
      <c r="T69" s="4">
        <v>3064168904.45333</v>
      </c>
      <c r="U69" s="4">
        <v>3453258407.9847999</v>
      </c>
      <c r="V69" s="4">
        <v>2412974916.2326298</v>
      </c>
      <c r="W69" s="4">
        <v>775247400.00302899</v>
      </c>
      <c r="X69" s="4">
        <v>2305099811.7035699</v>
      </c>
      <c r="Y69" s="4">
        <v>2385277665.91607</v>
      </c>
      <c r="Z69" s="4">
        <v>3313210000</v>
      </c>
      <c r="AA69" s="4">
        <v>-186792428.93092799</v>
      </c>
      <c r="AB69" s="4">
        <v>1872520530.0469401</v>
      </c>
      <c r="AC69" s="4">
        <v>1080310701.18297</v>
      </c>
      <c r="AD69" s="7"/>
    </row>
    <row r="70" spans="1:30" x14ac:dyDescent="0.3">
      <c r="A70" s="2" t="s">
        <v>44</v>
      </c>
      <c r="B70" s="3" t="s">
        <v>45</v>
      </c>
      <c r="C70" s="2" t="s">
        <v>23</v>
      </c>
      <c r="D70" s="2" t="s">
        <v>9</v>
      </c>
      <c r="E70" s="4">
        <v>547.31829890337895</v>
      </c>
      <c r="F70" s="4">
        <v>566.42823181293295</v>
      </c>
      <c r="G70" s="4">
        <v>712.16485207768596</v>
      </c>
      <c r="H70" s="4">
        <v>763.38874536722301</v>
      </c>
      <c r="I70" s="4">
        <v>962.48104194733003</v>
      </c>
      <c r="J70" s="4">
        <v>1211.3770350438599</v>
      </c>
      <c r="K70" s="4">
        <v>1599.5389155636501</v>
      </c>
      <c r="L70" s="4">
        <v>1815.52697545827</v>
      </c>
      <c r="M70" s="4">
        <v>2154.10543545364</v>
      </c>
      <c r="N70" s="4">
        <v>1820.48633854782</v>
      </c>
      <c r="O70" s="4">
        <v>2202.2567295734402</v>
      </c>
      <c r="P70" s="4">
        <v>2418.41316975875</v>
      </c>
      <c r="Q70" s="4">
        <v>2633.1973467136099</v>
      </c>
      <c r="R70" s="4">
        <v>2872.7908337939798</v>
      </c>
      <c r="S70" s="4">
        <v>3088.72131316169</v>
      </c>
      <c r="T70" s="4">
        <v>2585.7336067179699</v>
      </c>
      <c r="U70" s="4">
        <v>2070.4127339595002</v>
      </c>
      <c r="V70" s="4">
        <v>1876.34027111773</v>
      </c>
      <c r="W70" s="4">
        <v>2057.8794455401098</v>
      </c>
      <c r="X70" s="4">
        <v>3189.8128649851601</v>
      </c>
      <c r="Y70" s="4">
        <v>2797.18458068686</v>
      </c>
      <c r="Z70" s="4">
        <v>2787.4877922442802</v>
      </c>
      <c r="AA70" s="4">
        <v>2899.1604747032402</v>
      </c>
      <c r="AB70" s="4">
        <v>2138.76383719983</v>
      </c>
      <c r="AC70" s="4">
        <v>1084.16041805436</v>
      </c>
      <c r="AD70" s="7"/>
    </row>
    <row r="71" spans="1:30" x14ac:dyDescent="0.3">
      <c r="A71" s="2" t="s">
        <v>44</v>
      </c>
      <c r="B71" s="3" t="s">
        <v>45</v>
      </c>
      <c r="C71" s="2" t="s">
        <v>23</v>
      </c>
      <c r="D71" s="2" t="s">
        <v>10</v>
      </c>
      <c r="E71" s="5">
        <v>1.6479999999999999</v>
      </c>
      <c r="F71" s="5">
        <v>1.619</v>
      </c>
      <c r="G71" s="5">
        <v>1.972</v>
      </c>
      <c r="H71" s="5">
        <v>1.915</v>
      </c>
      <c r="I71" s="5">
        <v>1.38</v>
      </c>
      <c r="J71" s="5">
        <v>2.8359999999999999</v>
      </c>
      <c r="K71" s="5">
        <v>2.036</v>
      </c>
      <c r="L71" s="5">
        <v>2.169</v>
      </c>
      <c r="M71" s="5">
        <v>2.4140000000000001</v>
      </c>
      <c r="N71" s="5">
        <v>2.9</v>
      </c>
      <c r="O71" s="5">
        <v>1.6419999999999999</v>
      </c>
      <c r="P71" s="5">
        <v>2.133</v>
      </c>
      <c r="Q71" s="5">
        <v>1.524</v>
      </c>
      <c r="R71" s="5">
        <v>1.07</v>
      </c>
      <c r="S71" s="5">
        <v>0.81699999999999995</v>
      </c>
      <c r="T71" s="5">
        <v>0.622</v>
      </c>
      <c r="U71" s="5">
        <v>0.85299999999999998</v>
      </c>
      <c r="V71" s="5">
        <v>0.64200000000000002</v>
      </c>
      <c r="W71" s="5">
        <v>0.184</v>
      </c>
      <c r="X71" s="5">
        <v>0.34499999999999997</v>
      </c>
      <c r="Y71" s="5">
        <v>0.39800000000000002</v>
      </c>
      <c r="Z71" s="5">
        <v>0.54400000000000004</v>
      </c>
      <c r="AA71" s="5">
        <v>-2.9000000000000001E-2</v>
      </c>
      <c r="AB71" s="5">
        <v>0.38400000000000001</v>
      </c>
      <c r="AC71" s="5">
        <v>0.42799999999999999</v>
      </c>
      <c r="AD71" s="7"/>
    </row>
    <row r="72" spans="1:30" x14ac:dyDescent="0.3">
      <c r="A72" s="2" t="s">
        <v>44</v>
      </c>
      <c r="B72" s="3" t="s">
        <v>45</v>
      </c>
      <c r="C72" s="2" t="s">
        <v>23</v>
      </c>
      <c r="D72" s="2" t="s">
        <v>11</v>
      </c>
      <c r="E72" s="5">
        <v>5.01593475931152</v>
      </c>
      <c r="F72" s="5">
        <v>5.9176846492037098</v>
      </c>
      <c r="G72" s="5">
        <v>15.329155740955899</v>
      </c>
      <c r="H72" s="5">
        <v>7.3471949679949198</v>
      </c>
      <c r="I72" s="5">
        <v>9.2505582291798003</v>
      </c>
      <c r="J72" s="5">
        <v>6.4385165253834797</v>
      </c>
      <c r="K72" s="5">
        <v>6.0594280320290599</v>
      </c>
      <c r="L72" s="5">
        <v>6.5911303606867904</v>
      </c>
      <c r="M72" s="5">
        <v>6.76447277780228</v>
      </c>
      <c r="N72" s="5">
        <v>8.0369251009902296</v>
      </c>
      <c r="O72" s="5">
        <v>8.0056559162870098</v>
      </c>
      <c r="P72" s="5">
        <v>5.3079242028945304</v>
      </c>
      <c r="Q72" s="5">
        <v>4.2300611749322297</v>
      </c>
      <c r="R72" s="5">
        <v>6.6713353930616703</v>
      </c>
      <c r="S72" s="5">
        <v>6.3097186552543203</v>
      </c>
      <c r="T72" s="5">
        <v>2.65269329543001</v>
      </c>
      <c r="U72" s="5">
        <v>-1.61686894906509</v>
      </c>
      <c r="V72" s="5">
        <v>0.80588661910243797</v>
      </c>
      <c r="W72" s="5">
        <v>1.9227573420061399</v>
      </c>
      <c r="X72" s="5">
        <v>2.20842927714892</v>
      </c>
      <c r="Y72" s="5">
        <v>-6.3688984051010902</v>
      </c>
      <c r="Z72" s="5">
        <v>1.1092525393816299</v>
      </c>
      <c r="AA72" s="5">
        <v>4.3188294952319204</v>
      </c>
      <c r="AB72" s="5">
        <v>3.3268455642131598</v>
      </c>
      <c r="AC72" s="5">
        <v>4.0623640888831902</v>
      </c>
      <c r="AD72" s="7"/>
    </row>
    <row r="73" spans="1:30" x14ac:dyDescent="0.3">
      <c r="A73" s="2" t="s">
        <v>46</v>
      </c>
      <c r="B73" s="3" t="s">
        <v>47</v>
      </c>
      <c r="C73" s="2" t="s">
        <v>23</v>
      </c>
      <c r="D73" s="2" t="s">
        <v>8</v>
      </c>
      <c r="E73" s="4">
        <v>81643690.123518601</v>
      </c>
      <c r="F73" s="4">
        <v>45083429.813954897</v>
      </c>
      <c r="G73" s="4">
        <v>82692671.566497505</v>
      </c>
      <c r="H73" s="4">
        <v>86499780.368195206</v>
      </c>
      <c r="I73" s="4">
        <v>137583476.929811</v>
      </c>
      <c r="J73" s="4">
        <v>167944230.519191</v>
      </c>
      <c r="K73" s="4">
        <v>289840300.29228002</v>
      </c>
      <c r="L73" s="4">
        <v>351458732.44261903</v>
      </c>
      <c r="M73" s="4">
        <v>455739867.97629303</v>
      </c>
      <c r="N73" s="4">
        <v>331473910.25035697</v>
      </c>
      <c r="O73" s="4">
        <v>272092888.45661199</v>
      </c>
      <c r="P73" s="4">
        <v>338661995.57934701</v>
      </c>
      <c r="Q73" s="4">
        <v>276159533.00447297</v>
      </c>
      <c r="R73" s="4">
        <v>311366768.81942397</v>
      </c>
      <c r="S73" s="4">
        <v>403098056.38786203</v>
      </c>
      <c r="T73" s="4">
        <v>409166125.81490898</v>
      </c>
      <c r="U73" s="4">
        <v>472409799.84677601</v>
      </c>
      <c r="V73" s="4">
        <v>588292997.95870805</v>
      </c>
      <c r="W73" s="4">
        <v>847841574.79021502</v>
      </c>
      <c r="X73" s="4">
        <v>1065461344.07465</v>
      </c>
      <c r="Y73" s="4">
        <v>1845665272.73822</v>
      </c>
      <c r="Z73" s="4">
        <v>2588127208.4537802</v>
      </c>
      <c r="AA73" s="4">
        <v>2928675555.2077799</v>
      </c>
      <c r="AB73" s="4">
        <v>4789996739.2674198</v>
      </c>
      <c r="AC73" s="4">
        <v>2016428880</v>
      </c>
      <c r="AD73" s="7"/>
    </row>
    <row r="74" spans="1:30" x14ac:dyDescent="0.3">
      <c r="A74" s="2" t="s">
        <v>46</v>
      </c>
      <c r="B74" s="3" t="s">
        <v>47</v>
      </c>
      <c r="C74" s="2" t="s">
        <v>23</v>
      </c>
      <c r="D74" s="2" t="s">
        <v>9</v>
      </c>
      <c r="E74" s="4">
        <v>603.23316245515798</v>
      </c>
      <c r="F74" s="4">
        <v>637.21353056372402</v>
      </c>
      <c r="G74" s="4">
        <v>669.43044731920895</v>
      </c>
      <c r="H74" s="4">
        <v>817.88803422144201</v>
      </c>
      <c r="I74" s="4">
        <v>918.10207952215501</v>
      </c>
      <c r="J74" s="4">
        <v>979.84610152017103</v>
      </c>
      <c r="K74" s="4">
        <v>1017.2019674798699</v>
      </c>
      <c r="L74" s="4">
        <v>1188.9387780817499</v>
      </c>
      <c r="M74" s="4">
        <v>1398.7921801002101</v>
      </c>
      <c r="N74" s="4">
        <v>1308.69404336205</v>
      </c>
      <c r="O74" s="4">
        <v>1275.88357492357</v>
      </c>
      <c r="P74" s="4">
        <v>1374.67591873845</v>
      </c>
      <c r="Q74" s="4">
        <v>1326.83798848379</v>
      </c>
      <c r="R74" s="4">
        <v>1379.8319655392399</v>
      </c>
      <c r="S74" s="4">
        <v>1398.89137601382</v>
      </c>
      <c r="T74" s="4">
        <v>1218.0061355543801</v>
      </c>
      <c r="U74" s="4">
        <v>1266.4395715158701</v>
      </c>
      <c r="V74" s="4">
        <v>1356.80518449031</v>
      </c>
      <c r="W74" s="4">
        <v>1452.55612562445</v>
      </c>
      <c r="X74" s="4">
        <v>1431.1812893215899</v>
      </c>
      <c r="Y74" s="4">
        <v>1461.0872035055299</v>
      </c>
      <c r="Z74" s="4">
        <v>1598.10676952274</v>
      </c>
      <c r="AA74" s="4">
        <v>1574.0281059306001</v>
      </c>
      <c r="AB74" s="4">
        <v>1698.03387300843</v>
      </c>
      <c r="AC74" s="4">
        <v>1773.2182992344799</v>
      </c>
      <c r="AD74" s="7"/>
    </row>
    <row r="75" spans="1:30" x14ac:dyDescent="0.3">
      <c r="A75" s="2" t="s">
        <v>46</v>
      </c>
      <c r="B75" s="3" t="s">
        <v>47</v>
      </c>
      <c r="C75" s="2" t="s">
        <v>23</v>
      </c>
      <c r="D75" s="2" t="s">
        <v>10</v>
      </c>
      <c r="E75" s="5">
        <v>1.3580000000000001</v>
      </c>
      <c r="F75" s="5">
        <v>0.69299999999999995</v>
      </c>
      <c r="G75" s="5">
        <v>1.18</v>
      </c>
      <c r="H75" s="5">
        <v>0.98599999999999999</v>
      </c>
      <c r="I75" s="5">
        <v>1.365</v>
      </c>
      <c r="J75" s="5">
        <v>1.526</v>
      </c>
      <c r="K75" s="5">
        <v>2.4780000000000002</v>
      </c>
      <c r="L75" s="5">
        <v>2.5110000000000001</v>
      </c>
      <c r="M75" s="5">
        <v>2.7040000000000002</v>
      </c>
      <c r="N75" s="5">
        <v>2.0529999999999999</v>
      </c>
      <c r="O75" s="5">
        <v>1.6879999999999999</v>
      </c>
      <c r="P75" s="5">
        <v>1.901</v>
      </c>
      <c r="Q75" s="5">
        <v>1.5640000000000001</v>
      </c>
      <c r="R75" s="5">
        <v>1.6459999999999999</v>
      </c>
      <c r="S75" s="5">
        <v>2.036</v>
      </c>
      <c r="T75" s="5">
        <v>2.302</v>
      </c>
      <c r="U75" s="5">
        <v>2.4809999999999999</v>
      </c>
      <c r="V75" s="5">
        <v>2.802</v>
      </c>
      <c r="W75" s="5">
        <v>3.6680000000000001</v>
      </c>
      <c r="X75" s="5">
        <v>4.5519999999999996</v>
      </c>
      <c r="Y75" s="5">
        <v>7.524</v>
      </c>
      <c r="Z75" s="5">
        <v>9.4039999999999999</v>
      </c>
      <c r="AA75" s="5">
        <v>10.541</v>
      </c>
      <c r="AB75" s="5">
        <v>15.603999999999999</v>
      </c>
      <c r="AC75" s="5">
        <v>6.1459999999999999</v>
      </c>
      <c r="AD75" s="7"/>
    </row>
    <row r="76" spans="1:30" x14ac:dyDescent="0.3">
      <c r="A76" s="2" t="s">
        <v>46</v>
      </c>
      <c r="B76" s="3" t="s">
        <v>47</v>
      </c>
      <c r="C76" s="2" t="s">
        <v>23</v>
      </c>
      <c r="D76" s="2" t="s">
        <v>11</v>
      </c>
      <c r="E76" s="5">
        <v>3.8872109581679299</v>
      </c>
      <c r="F76" s="5">
        <v>4.3108514661836903</v>
      </c>
      <c r="G76" s="5">
        <v>6.8696574741906602E-2</v>
      </c>
      <c r="H76" s="5">
        <v>5.5939509445614304</v>
      </c>
      <c r="I76" s="5">
        <v>4.6432939368331203</v>
      </c>
      <c r="J76" s="5">
        <v>4.3102385263963301</v>
      </c>
      <c r="K76" s="5">
        <v>2.33077098330239</v>
      </c>
      <c r="L76" s="5">
        <v>2.8271192013337401</v>
      </c>
      <c r="M76" s="5">
        <v>3.7031690639138599</v>
      </c>
      <c r="N76" s="5">
        <v>2.75210448455053</v>
      </c>
      <c r="O76" s="5">
        <v>3.39088925336209</v>
      </c>
      <c r="P76" s="5">
        <v>1.33409107961258</v>
      </c>
      <c r="Q76" s="5">
        <v>4.0029955509045703</v>
      </c>
      <c r="R76" s="5">
        <v>2.4123852760557898</v>
      </c>
      <c r="S76" s="5">
        <v>6.2240744379098603</v>
      </c>
      <c r="T76" s="5">
        <v>6.3670436506698298</v>
      </c>
      <c r="U76" s="5">
        <v>6.3560685718187804</v>
      </c>
      <c r="V76" s="5">
        <v>7.4074861863013002</v>
      </c>
      <c r="W76" s="5">
        <v>6.2092410338908604</v>
      </c>
      <c r="X76" s="5">
        <v>4.61362809749708</v>
      </c>
      <c r="Y76" s="5">
        <v>1.3420737726679</v>
      </c>
      <c r="Z76" s="5">
        <v>6.5440010996430402</v>
      </c>
      <c r="AA76" s="5">
        <v>3.8504319373576799</v>
      </c>
      <c r="AB76" s="5">
        <v>4.2574308328028998</v>
      </c>
      <c r="AC76" s="5">
        <v>6.0605514119897599</v>
      </c>
      <c r="AD76" s="7"/>
    </row>
    <row r="77" spans="1:30" x14ac:dyDescent="0.3">
      <c r="A77" s="2" t="s">
        <v>48</v>
      </c>
      <c r="B77" s="3" t="s">
        <v>49</v>
      </c>
      <c r="C77" s="2" t="s">
        <v>23</v>
      </c>
      <c r="D77" s="2" t="s">
        <v>8</v>
      </c>
      <c r="E77" s="4">
        <v>39000824.520523302</v>
      </c>
      <c r="F77" s="4">
        <v>9835742.0223757308</v>
      </c>
      <c r="G77" s="4">
        <v>10413409.463440901</v>
      </c>
      <c r="H77" s="4">
        <v>8615049.6677389909</v>
      </c>
      <c r="I77" s="4">
        <v>61153314.193329699</v>
      </c>
      <c r="J77" s="4">
        <v>90731669.737714797</v>
      </c>
      <c r="K77" s="4">
        <v>58869143.907217897</v>
      </c>
      <c r="L77" s="4">
        <v>95470171.315982699</v>
      </c>
      <c r="M77" s="4">
        <v>53095068.0674311</v>
      </c>
      <c r="N77" s="4">
        <v>110430202.51769499</v>
      </c>
      <c r="O77" s="4">
        <v>238404209.34276</v>
      </c>
      <c r="P77" s="4">
        <v>950477791.38029695</v>
      </c>
      <c r="Q77" s="4">
        <v>722447405.06738698</v>
      </c>
      <c r="R77" s="4">
        <v>429664580.13606697</v>
      </c>
      <c r="S77" s="4">
        <v>375089628.51241702</v>
      </c>
      <c r="T77" s="4">
        <v>252435829.43390101</v>
      </c>
      <c r="U77" s="4">
        <v>138517339.82490399</v>
      </c>
      <c r="V77" s="4">
        <v>413724600.63112903</v>
      </c>
      <c r="W77" s="4">
        <v>185646292.276508</v>
      </c>
      <c r="X77" s="4">
        <v>121782194.44471399</v>
      </c>
      <c r="Y77" s="4">
        <v>51000000</v>
      </c>
      <c r="Z77" s="4">
        <v>214000000</v>
      </c>
      <c r="AA77" s="4">
        <v>145000000</v>
      </c>
      <c r="AB77" s="4">
        <v>145910237.670517</v>
      </c>
      <c r="AC77" s="4">
        <v>121785333.78154901</v>
      </c>
      <c r="AD77" s="7"/>
    </row>
    <row r="78" spans="1:30" x14ac:dyDescent="0.3">
      <c r="A78" s="2" t="s">
        <v>48</v>
      </c>
      <c r="B78" s="3" t="s">
        <v>49</v>
      </c>
      <c r="C78" s="2" t="s">
        <v>23</v>
      </c>
      <c r="D78" s="2" t="s">
        <v>9</v>
      </c>
      <c r="E78" s="4">
        <v>143.743743239644</v>
      </c>
      <c r="F78" s="4">
        <v>358.31571605154602</v>
      </c>
      <c r="G78" s="4">
        <v>388.99511121683599</v>
      </c>
      <c r="H78" s="4">
        <v>413.81760734692699</v>
      </c>
      <c r="I78" s="4">
        <v>417.74998332922701</v>
      </c>
      <c r="J78" s="4">
        <v>462.63332442794501</v>
      </c>
      <c r="K78" s="4">
        <v>580.26796974773004</v>
      </c>
      <c r="L78" s="4">
        <v>631.88992626499805</v>
      </c>
      <c r="M78" s="4">
        <v>705.35901408000495</v>
      </c>
      <c r="N78" s="4">
        <v>652.84580676794303</v>
      </c>
      <c r="O78" s="4">
        <v>685.03967349094796</v>
      </c>
      <c r="P78" s="4">
        <v>761.14636557728102</v>
      </c>
      <c r="Q78" s="4">
        <v>937.504428180231</v>
      </c>
      <c r="R78" s="4">
        <v>1117.47183075115</v>
      </c>
      <c r="S78" s="4">
        <v>1117.7586465720999</v>
      </c>
      <c r="T78" s="4">
        <v>964.57598088898897</v>
      </c>
      <c r="U78" s="4">
        <v>844.41641117547601</v>
      </c>
      <c r="V78" s="4">
        <v>779.18600784172804</v>
      </c>
      <c r="W78" s="4">
        <v>845.91454046093202</v>
      </c>
      <c r="X78" s="4">
        <v>843.71251780997704</v>
      </c>
      <c r="Y78" s="4">
        <v>845.27755792054904</v>
      </c>
      <c r="Z78" s="4">
        <v>885.39640188539499</v>
      </c>
      <c r="AA78" s="4">
        <v>860.37106791609597</v>
      </c>
      <c r="AB78" s="4">
        <v>758.32913737824799</v>
      </c>
      <c r="AC78" s="4">
        <v>806.65465041772597</v>
      </c>
      <c r="AD78" s="7"/>
    </row>
    <row r="79" spans="1:30" x14ac:dyDescent="0.3">
      <c r="A79" s="2" t="s">
        <v>48</v>
      </c>
      <c r="B79" s="3" t="s">
        <v>49</v>
      </c>
      <c r="C79" s="2" t="s">
        <v>23</v>
      </c>
      <c r="D79" s="2" t="s">
        <v>10</v>
      </c>
      <c r="E79" s="5">
        <v>6.133</v>
      </c>
      <c r="F79" s="5">
        <v>0.58499999999999996</v>
      </c>
      <c r="G79" s="5">
        <v>0.53800000000000003</v>
      </c>
      <c r="H79" s="5">
        <v>0.40200000000000002</v>
      </c>
      <c r="I79" s="5">
        <v>2.7330000000000001</v>
      </c>
      <c r="J79" s="5">
        <v>3.5649999999999999</v>
      </c>
      <c r="K79" s="5">
        <v>1.804</v>
      </c>
      <c r="L79" s="5">
        <v>2.6280000000000001</v>
      </c>
      <c r="M79" s="5">
        <v>1.2769999999999999</v>
      </c>
      <c r="N79" s="5">
        <v>2.7930000000000001</v>
      </c>
      <c r="O79" s="5">
        <v>5.593</v>
      </c>
      <c r="P79" s="5">
        <v>19.550999999999998</v>
      </c>
      <c r="Q79" s="5">
        <v>11.763</v>
      </c>
      <c r="R79" s="5">
        <v>5.7270000000000003</v>
      </c>
      <c r="S79" s="5">
        <v>4.88</v>
      </c>
      <c r="T79" s="5">
        <v>3.7189999999999999</v>
      </c>
      <c r="U79" s="5">
        <v>2.2770000000000001</v>
      </c>
      <c r="V79" s="5">
        <v>7.1950000000000003</v>
      </c>
      <c r="W79" s="5">
        <v>2.9049999999999998</v>
      </c>
      <c r="X79" s="5">
        <v>1.867</v>
      </c>
      <c r="Y79" s="5">
        <v>0.76300000000000001</v>
      </c>
      <c r="Z79" s="5">
        <v>2.9860000000000002</v>
      </c>
      <c r="AA79" s="5">
        <v>2.036</v>
      </c>
      <c r="AB79" s="5">
        <v>2.274</v>
      </c>
      <c r="AC79" s="5">
        <v>1.7470000000000001</v>
      </c>
      <c r="AD79" s="7"/>
    </row>
    <row r="80" spans="1:30" x14ac:dyDescent="0.3">
      <c r="A80" s="2" t="s">
        <v>48</v>
      </c>
      <c r="B80" s="3" t="s">
        <v>49</v>
      </c>
      <c r="C80" s="2" t="s">
        <v>23</v>
      </c>
      <c r="D80" s="2" t="s">
        <v>11</v>
      </c>
      <c r="E80" s="5">
        <v>6.6527302840476601</v>
      </c>
      <c r="F80" s="5">
        <v>-6.3454556332846899</v>
      </c>
      <c r="G80" s="5">
        <v>26.524135067440898</v>
      </c>
      <c r="H80" s="5">
        <v>9.4836312688534292</v>
      </c>
      <c r="I80" s="5">
        <v>6.4788458841734702</v>
      </c>
      <c r="J80" s="5">
        <v>4.3534998069980997</v>
      </c>
      <c r="K80" s="5">
        <v>4.28311062264335</v>
      </c>
      <c r="L80" s="5">
        <v>3.7497580475164098</v>
      </c>
      <c r="M80" s="5">
        <v>3.68605969932123</v>
      </c>
      <c r="N80" s="5">
        <v>1.53080323958716</v>
      </c>
      <c r="O80" s="5">
        <v>6.3556659580049502</v>
      </c>
      <c r="P80" s="5">
        <v>8.1006551871491705</v>
      </c>
      <c r="Q80" s="5">
        <v>10.578331663387001</v>
      </c>
      <c r="R80" s="5">
        <v>14.6633238075229</v>
      </c>
      <c r="S80" s="5">
        <v>-7.81501512457241</v>
      </c>
      <c r="T80" s="5">
        <v>-4.3633326209378804</v>
      </c>
      <c r="U80" s="5">
        <v>6.4374365276425802</v>
      </c>
      <c r="V80" s="5">
        <v>3.2078608771598698</v>
      </c>
      <c r="W80" s="5">
        <v>2.8938564123677</v>
      </c>
      <c r="X80" s="5">
        <v>5.5027093737815296</v>
      </c>
      <c r="Y80" s="5">
        <v>-1.2533490322766001</v>
      </c>
      <c r="Z80" s="5">
        <v>5.8968527047094002</v>
      </c>
      <c r="AA80" s="5">
        <v>5.3135546141915002</v>
      </c>
      <c r="AB80" s="5">
        <v>5.7100218981806004</v>
      </c>
      <c r="AC80" s="5">
        <v>4.2932233669016302</v>
      </c>
      <c r="AD80" s="7"/>
    </row>
    <row r="81" spans="1:30" x14ac:dyDescent="0.3">
      <c r="A81" s="2" t="s">
        <v>50</v>
      </c>
      <c r="B81" s="3" t="s">
        <v>51</v>
      </c>
      <c r="C81" s="2" t="s">
        <v>23</v>
      </c>
      <c r="D81" s="2" t="s">
        <v>8</v>
      </c>
      <c r="E81" s="4">
        <v>52818330.986365803</v>
      </c>
      <c r="F81" s="4">
        <v>72617650.887525201</v>
      </c>
      <c r="G81" s="4">
        <v>57806307.373627096</v>
      </c>
      <c r="H81" s="4">
        <v>45773612.370035999</v>
      </c>
      <c r="I81" s="4">
        <v>79967681.861950994</v>
      </c>
      <c r="J81" s="4">
        <v>96003598.208715707</v>
      </c>
      <c r="K81" s="4">
        <v>91396741.899060905</v>
      </c>
      <c r="L81" s="4">
        <v>62406802.627874397</v>
      </c>
      <c r="M81" s="4">
        <v>50892371.953782797</v>
      </c>
      <c r="N81" s="4">
        <v>46304496.127711602</v>
      </c>
      <c r="O81" s="4">
        <v>125064101.838993</v>
      </c>
      <c r="P81" s="4">
        <v>728710878.416044</v>
      </c>
      <c r="Q81" s="4">
        <v>121511565.575361</v>
      </c>
      <c r="R81" s="4">
        <v>183599248.95818299</v>
      </c>
      <c r="S81" s="4">
        <v>54020342.354685999</v>
      </c>
      <c r="T81" s="4">
        <v>257860036.464441</v>
      </c>
      <c r="U81" s="4">
        <v>-46308331.617851697</v>
      </c>
      <c r="V81" s="4">
        <v>88558699.502223402</v>
      </c>
      <c r="W81" s="4">
        <v>-180972714.79572901</v>
      </c>
      <c r="X81" s="4">
        <v>345697546.97143197</v>
      </c>
      <c r="Y81" s="4">
        <v>-59206820.0004109</v>
      </c>
      <c r="Z81" s="4">
        <v>-136221500</v>
      </c>
      <c r="AA81" s="4">
        <v>-173300710</v>
      </c>
      <c r="AB81" s="4">
        <v>79736910</v>
      </c>
      <c r="AC81" s="4">
        <v>83754750</v>
      </c>
      <c r="AD81" s="7"/>
    </row>
    <row r="82" spans="1:30" x14ac:dyDescent="0.3">
      <c r="A82" s="2" t="s">
        <v>50</v>
      </c>
      <c r="B82" s="3" t="s">
        <v>51</v>
      </c>
      <c r="C82" s="2" t="s">
        <v>23</v>
      </c>
      <c r="D82" s="2" t="s">
        <v>9</v>
      </c>
      <c r="E82" s="4">
        <v>409.88980279276802</v>
      </c>
      <c r="F82" s="4">
        <v>396.69265452013502</v>
      </c>
      <c r="G82" s="4">
        <v>445.23869148892499</v>
      </c>
      <c r="H82" s="4">
        <v>538.16537776928999</v>
      </c>
      <c r="I82" s="4">
        <v>560.26630853338202</v>
      </c>
      <c r="J82" s="4">
        <v>551.25985001707704</v>
      </c>
      <c r="K82" s="4">
        <v>552.50227125256004</v>
      </c>
      <c r="L82" s="4">
        <v>607.58788672135199</v>
      </c>
      <c r="M82" s="4">
        <v>718.948386717473</v>
      </c>
      <c r="N82" s="4">
        <v>720.69376815141595</v>
      </c>
      <c r="O82" s="4">
        <v>704.98677228607903</v>
      </c>
      <c r="P82" s="4">
        <v>783.98894467167304</v>
      </c>
      <c r="Q82" s="4">
        <v>762.39162379069001</v>
      </c>
      <c r="R82" s="4">
        <v>826.542799987227</v>
      </c>
      <c r="S82" s="4">
        <v>855.58480924657397</v>
      </c>
      <c r="T82" s="4">
        <v>751.05198758724805</v>
      </c>
      <c r="U82" s="4">
        <v>772.58135762060897</v>
      </c>
      <c r="V82" s="4">
        <v>792.76570096586397</v>
      </c>
      <c r="W82" s="4">
        <v>851.12056123359503</v>
      </c>
      <c r="X82" s="4">
        <v>826.25520901979803</v>
      </c>
      <c r="Y82" s="4">
        <v>863.46866587027603</v>
      </c>
      <c r="Z82" s="4">
        <v>962.07518751587202</v>
      </c>
      <c r="AA82" s="4">
        <v>951.23237869038701</v>
      </c>
      <c r="AB82" s="4">
        <v>1055.0172787792601</v>
      </c>
      <c r="AC82" s="4">
        <v>1119.3816050942901</v>
      </c>
      <c r="AD82" s="7"/>
    </row>
    <row r="83" spans="1:30" x14ac:dyDescent="0.3">
      <c r="A83" s="2" t="s">
        <v>50</v>
      </c>
      <c r="B83" s="3" t="s">
        <v>51</v>
      </c>
      <c r="C83" s="2" t="s">
        <v>23</v>
      </c>
      <c r="D83" s="2" t="s">
        <v>10</v>
      </c>
      <c r="E83" s="5">
        <v>2.5070000000000001</v>
      </c>
      <c r="F83" s="5">
        <v>3.4689999999999999</v>
      </c>
      <c r="G83" s="5">
        <v>2.3980000000000001</v>
      </c>
      <c r="H83" s="5">
        <v>1.532</v>
      </c>
      <c r="I83" s="5">
        <v>2.5059999999999998</v>
      </c>
      <c r="J83" s="5">
        <v>2.98</v>
      </c>
      <c r="K83" s="5">
        <v>2.7519999999999998</v>
      </c>
      <c r="L83" s="5">
        <v>1.66</v>
      </c>
      <c r="M83" s="5">
        <v>1.111</v>
      </c>
      <c r="N83" s="5">
        <v>0.98099999999999998</v>
      </c>
      <c r="O83" s="5">
        <v>2.6349999999999998</v>
      </c>
      <c r="P83" s="5">
        <v>13.439</v>
      </c>
      <c r="Q83" s="5">
        <v>2.2450000000000001</v>
      </c>
      <c r="R83" s="5">
        <v>3.0489999999999999</v>
      </c>
      <c r="S83" s="5">
        <v>0.84499999999999997</v>
      </c>
      <c r="T83" s="5">
        <v>4.4800000000000004</v>
      </c>
      <c r="U83" s="5">
        <v>-0.76300000000000001</v>
      </c>
      <c r="V83" s="5">
        <v>1.3859999999999999</v>
      </c>
      <c r="W83" s="5">
        <v>-2.5750000000000002</v>
      </c>
      <c r="X83" s="5">
        <v>4.944</v>
      </c>
      <c r="Y83" s="5">
        <v>-0.79100000000000004</v>
      </c>
      <c r="Z83" s="5">
        <v>-1.595</v>
      </c>
      <c r="AA83" s="5">
        <v>-2.004</v>
      </c>
      <c r="AB83" s="5">
        <v>0.81200000000000006</v>
      </c>
      <c r="AC83" s="5">
        <v>0.78600000000000003</v>
      </c>
      <c r="AD83" s="7"/>
    </row>
    <row r="84" spans="1:30" x14ac:dyDescent="0.3">
      <c r="A84" s="2" t="s">
        <v>50</v>
      </c>
      <c r="B84" s="3" t="s">
        <v>51</v>
      </c>
      <c r="C84" s="2" t="s">
        <v>23</v>
      </c>
      <c r="D84" s="2" t="s">
        <v>11</v>
      </c>
      <c r="E84" s="5">
        <v>-0.783479610048047</v>
      </c>
      <c r="F84" s="5">
        <v>0.82343875211185502</v>
      </c>
      <c r="G84" s="5">
        <v>3.8266225767514199</v>
      </c>
      <c r="H84" s="5">
        <v>6.7201714233603402</v>
      </c>
      <c r="I84" s="5">
        <v>-0.97866533273874301</v>
      </c>
      <c r="J84" s="5">
        <v>-4.6662993841333797</v>
      </c>
      <c r="K84" s="5">
        <v>2.6501320994347299</v>
      </c>
      <c r="L84" s="5">
        <v>-1.1751368996605001</v>
      </c>
      <c r="M84" s="5">
        <v>4.0356131539886198</v>
      </c>
      <c r="N84" s="5">
        <v>5.4538109692033201</v>
      </c>
      <c r="O84" s="5">
        <v>5.8543339907687901</v>
      </c>
      <c r="P84" s="5">
        <v>5.8232562213528896</v>
      </c>
      <c r="Q84" s="5">
        <v>6.30271426865185</v>
      </c>
      <c r="R84" s="5">
        <v>5.8242506928305904</v>
      </c>
      <c r="S84" s="5">
        <v>5.63323739145223</v>
      </c>
      <c r="T84" s="5">
        <v>5.4680413807303996</v>
      </c>
      <c r="U84" s="5">
        <v>4.21490387414525</v>
      </c>
      <c r="V84" s="5">
        <v>4.00791259566937</v>
      </c>
      <c r="W84" s="5">
        <v>4.7951833308613896</v>
      </c>
      <c r="X84" s="5">
        <v>4.9228332136069399</v>
      </c>
      <c r="Y84" s="5">
        <v>2.1622865742436401</v>
      </c>
      <c r="Z84" s="5">
        <v>5.1289011370173201</v>
      </c>
      <c r="AA84" s="5">
        <v>6.2944369201942898</v>
      </c>
      <c r="AB84" s="5">
        <v>6.19211576941919</v>
      </c>
      <c r="AC84" s="5">
        <v>6.5320450556379104</v>
      </c>
      <c r="AD84" s="7"/>
    </row>
    <row r="85" spans="1:30" x14ac:dyDescent="0.3">
      <c r="A85" s="2" t="s">
        <v>52</v>
      </c>
      <c r="B85" s="3" t="s">
        <v>53</v>
      </c>
      <c r="C85" s="2" t="s">
        <v>23</v>
      </c>
      <c r="D85" s="2" t="s">
        <v>8</v>
      </c>
      <c r="E85" s="4">
        <v>40096000</v>
      </c>
      <c r="F85" s="4">
        <v>76700000</v>
      </c>
      <c r="G85" s="4">
        <v>67340350</v>
      </c>
      <c r="H85" s="4">
        <v>101957950</v>
      </c>
      <c r="I85" s="4">
        <v>404102030</v>
      </c>
      <c r="J85" s="4">
        <v>811869180</v>
      </c>
      <c r="K85" s="4">
        <v>154601640</v>
      </c>
      <c r="L85" s="4">
        <v>139372820</v>
      </c>
      <c r="M85" s="4">
        <v>342770660</v>
      </c>
      <c r="N85" s="4">
        <v>-3072040</v>
      </c>
      <c r="O85" s="4">
        <v>130528390</v>
      </c>
      <c r="P85" s="4">
        <v>588749560</v>
      </c>
      <c r="Q85" s="4">
        <v>1386098850.60853</v>
      </c>
      <c r="R85" s="4">
        <v>1126004759.60199</v>
      </c>
      <c r="S85" s="4">
        <v>502589833.81815898</v>
      </c>
      <c r="T85" s="4">
        <v>501726765.73381901</v>
      </c>
      <c r="U85" s="4">
        <v>271134844.99729103</v>
      </c>
      <c r="V85" s="4">
        <v>588217194.75853801</v>
      </c>
      <c r="W85" s="4">
        <v>772890480</v>
      </c>
      <c r="X85" s="4">
        <v>-883561115.82551897</v>
      </c>
      <c r="Y85" s="4">
        <v>927916265.77428496</v>
      </c>
      <c r="Z85" s="4">
        <v>1070252545.01957</v>
      </c>
      <c r="AA85" s="4">
        <v>1401620461.8227401</v>
      </c>
      <c r="AB85" s="4">
        <v>848351729.72235298</v>
      </c>
      <c r="AC85" s="4">
        <v>1440291135.4310601</v>
      </c>
      <c r="AD85" s="7"/>
    </row>
    <row r="86" spans="1:30" x14ac:dyDescent="0.3">
      <c r="A86" s="2" t="s">
        <v>52</v>
      </c>
      <c r="B86" s="3" t="s">
        <v>53</v>
      </c>
      <c r="C86" s="2" t="s">
        <v>23</v>
      </c>
      <c r="D86" s="2" t="s">
        <v>9</v>
      </c>
      <c r="E86" s="4">
        <v>680.911061879778</v>
      </c>
      <c r="F86" s="4">
        <v>651.81784019977704</v>
      </c>
      <c r="G86" s="4">
        <v>648.87964393486197</v>
      </c>
      <c r="H86" s="4">
        <v>732.01782081267595</v>
      </c>
      <c r="I86" s="4">
        <v>823.55445714189295</v>
      </c>
      <c r="J86" s="4">
        <v>998.96583416747001</v>
      </c>
      <c r="K86" s="4">
        <v>1300.60367988659</v>
      </c>
      <c r="L86" s="4">
        <v>1405.1501620336901</v>
      </c>
      <c r="M86" s="4">
        <v>1635.5630623124</v>
      </c>
      <c r="N86" s="4">
        <v>1435.4301081189301</v>
      </c>
      <c r="O86" s="4">
        <v>1659.96369705455</v>
      </c>
      <c r="P86" s="4">
        <v>1931.19975525465</v>
      </c>
      <c r="Q86" s="4">
        <v>1859.11733247641</v>
      </c>
      <c r="R86" s="4">
        <v>1934.24103064714</v>
      </c>
      <c r="S86" s="4">
        <v>1713.0086526423399</v>
      </c>
      <c r="T86" s="4">
        <v>1554.94897871783</v>
      </c>
      <c r="U86" s="4">
        <v>1565.76575722696</v>
      </c>
      <c r="V86" s="4">
        <v>1615.0040132732299</v>
      </c>
      <c r="W86" s="4">
        <v>1722.93528854073</v>
      </c>
      <c r="X86" s="4">
        <v>1767.0727106209999</v>
      </c>
      <c r="Y86" s="4">
        <v>1795.7645956671399</v>
      </c>
      <c r="Z86" s="4">
        <v>1947.78918383313</v>
      </c>
      <c r="AA86" s="4">
        <v>1960.3524007742401</v>
      </c>
      <c r="AB86" s="4">
        <v>2135.7818760635901</v>
      </c>
      <c r="AC86" s="4">
        <v>2110.1203693818702</v>
      </c>
      <c r="AD86" s="7"/>
    </row>
    <row r="87" spans="1:30" x14ac:dyDescent="0.3">
      <c r="A87" s="2" t="s">
        <v>52</v>
      </c>
      <c r="B87" s="3" t="s">
        <v>53</v>
      </c>
      <c r="C87" s="2" t="s">
        <v>23</v>
      </c>
      <c r="D87" s="2" t="s">
        <v>10</v>
      </c>
      <c r="E87" s="5">
        <v>2.2530000000000001</v>
      </c>
      <c r="F87" s="5">
        <v>4.3929999999999998</v>
      </c>
      <c r="G87" s="5">
        <v>3.7890000000000001</v>
      </c>
      <c r="H87" s="5">
        <v>4.9710000000000001</v>
      </c>
      <c r="I87" s="5">
        <v>17.105</v>
      </c>
      <c r="J87" s="5">
        <v>27.652000000000001</v>
      </c>
      <c r="K87" s="5">
        <v>3.944</v>
      </c>
      <c r="L87" s="5">
        <v>3.2069999999999999</v>
      </c>
      <c r="M87" s="5">
        <v>6.5839999999999996</v>
      </c>
      <c r="N87" s="5">
        <v>-6.5000000000000002E-2</v>
      </c>
      <c r="O87" s="5">
        <v>2.319</v>
      </c>
      <c r="P87" s="5">
        <v>8.7029999999999994</v>
      </c>
      <c r="Q87" s="5">
        <v>20.600999999999999</v>
      </c>
      <c r="R87" s="5">
        <v>15.589</v>
      </c>
      <c r="S87" s="5">
        <v>7.6239999999999997</v>
      </c>
      <c r="T87" s="5">
        <v>8.1359999999999992</v>
      </c>
      <c r="U87" s="5">
        <v>4.2370000000000001</v>
      </c>
      <c r="V87" s="5">
        <v>8.65</v>
      </c>
      <c r="W87" s="5">
        <v>10.342000000000001</v>
      </c>
      <c r="X87" s="5">
        <v>-11.192</v>
      </c>
      <c r="Y87" s="5">
        <v>11.233000000000001</v>
      </c>
      <c r="Z87" s="5">
        <v>11.605</v>
      </c>
      <c r="AA87" s="5">
        <v>14.664</v>
      </c>
      <c r="AB87" s="5">
        <v>7.9089999999999998</v>
      </c>
      <c r="AC87" s="5">
        <v>13.204000000000001</v>
      </c>
      <c r="AD87" s="7"/>
    </row>
    <row r="88" spans="1:30" x14ac:dyDescent="0.3">
      <c r="A88" s="2" t="s">
        <v>52</v>
      </c>
      <c r="B88" s="3" t="s">
        <v>53</v>
      </c>
      <c r="C88" s="2" t="s">
        <v>23</v>
      </c>
      <c r="D88" s="2" t="s">
        <v>11</v>
      </c>
      <c r="E88" s="5">
        <v>-3.9180258520899298</v>
      </c>
      <c r="F88" s="5">
        <v>-0.79949383003598495</v>
      </c>
      <c r="G88" s="5">
        <v>1.3814839604526601</v>
      </c>
      <c r="H88" s="5">
        <v>6.9282695756847401</v>
      </c>
      <c r="I88" s="5">
        <v>4.7327578751094599</v>
      </c>
      <c r="J88" s="5">
        <v>8.5662873200941902</v>
      </c>
      <c r="K88" s="5">
        <v>18.3331986932345</v>
      </c>
      <c r="L88" s="5">
        <v>-1.9694227498840899</v>
      </c>
      <c r="M88" s="5">
        <v>-0.33107922343080498</v>
      </c>
      <c r="N88" s="5">
        <v>9.7875914332007596E-2</v>
      </c>
      <c r="O88" s="5">
        <v>2.6202294810454299</v>
      </c>
      <c r="P88" s="5">
        <v>4.1727832781539904</v>
      </c>
      <c r="Q88" s="5">
        <v>4.4700131917047896</v>
      </c>
      <c r="R88" s="5">
        <v>4.1508131898954002</v>
      </c>
      <c r="S88" s="5">
        <v>4.27482328814457</v>
      </c>
      <c r="T88" s="5">
        <v>5.3763392409925101</v>
      </c>
      <c r="U88" s="5">
        <v>1.26090923067225</v>
      </c>
      <c r="V88" s="5">
        <v>6.2705456693767703</v>
      </c>
      <c r="W88" s="5">
        <v>4.7721736569262099</v>
      </c>
      <c r="X88" s="5">
        <v>3.1410048930696899</v>
      </c>
      <c r="Y88" s="5">
        <v>-0.36065738415106802</v>
      </c>
      <c r="Z88" s="5">
        <v>0.742715486567747</v>
      </c>
      <c r="AA88" s="5">
        <v>6.7960050048996701</v>
      </c>
      <c r="AB88" s="5">
        <v>6.8094900197862103</v>
      </c>
      <c r="AC88" s="5">
        <v>6.30760213290844</v>
      </c>
      <c r="AD88" s="7"/>
    </row>
    <row r="89" spans="1:30" x14ac:dyDescent="0.3">
      <c r="A89" s="2" t="s">
        <v>54</v>
      </c>
      <c r="B89" s="3" t="s">
        <v>55</v>
      </c>
      <c r="C89" s="2" t="s">
        <v>56</v>
      </c>
      <c r="D89" s="2" t="s">
        <v>8</v>
      </c>
      <c r="E89" s="4">
        <v>159708006.201386</v>
      </c>
      <c r="F89" s="4">
        <v>-11668387.3783905</v>
      </c>
      <c r="G89" s="4">
        <v>505256043.293607</v>
      </c>
      <c r="H89" s="4">
        <v>334888535.86020702</v>
      </c>
      <c r="I89" s="4">
        <v>67984855.642229199</v>
      </c>
      <c r="J89" s="4">
        <v>243601636.50045601</v>
      </c>
      <c r="K89" s="4">
        <v>59122291.342805803</v>
      </c>
      <c r="L89" s="4">
        <v>189581294.62515301</v>
      </c>
      <c r="M89" s="4">
        <v>20995513.744612802</v>
      </c>
      <c r="N89" s="4">
        <v>746276648.96181703</v>
      </c>
      <c r="O89" s="4">
        <v>536265313.19888502</v>
      </c>
      <c r="P89" s="4">
        <v>653266626.57178497</v>
      </c>
      <c r="Q89" s="4">
        <v>527363935.61418098</v>
      </c>
      <c r="R89" s="4">
        <v>547404749.75718105</v>
      </c>
      <c r="S89" s="4">
        <v>725854540.91487598</v>
      </c>
      <c r="T89" s="4">
        <v>694336734.87981999</v>
      </c>
      <c r="U89" s="4">
        <v>663893595.165465</v>
      </c>
      <c r="V89" s="4">
        <v>814458940.92762399</v>
      </c>
      <c r="W89" s="4">
        <v>765092012.77852595</v>
      </c>
      <c r="X89" s="4">
        <v>1024779237.90888</v>
      </c>
      <c r="Y89" s="4">
        <v>675186993.65286899</v>
      </c>
      <c r="Z89" s="4">
        <v>963531503.48334396</v>
      </c>
      <c r="AA89" s="4">
        <v>925681548.56325102</v>
      </c>
      <c r="AB89" s="4">
        <v>821546383.23981202</v>
      </c>
      <c r="AC89" s="4">
        <v>888218144.392838</v>
      </c>
      <c r="AD89" s="7"/>
    </row>
    <row r="90" spans="1:30" x14ac:dyDescent="0.3">
      <c r="A90" s="2" t="s">
        <v>54</v>
      </c>
      <c r="B90" s="3" t="s">
        <v>55</v>
      </c>
      <c r="C90" s="2" t="s">
        <v>56</v>
      </c>
      <c r="D90" s="2" t="s">
        <v>9</v>
      </c>
      <c r="E90" s="4">
        <v>708.56573162596499</v>
      </c>
      <c r="F90" s="4">
        <v>715.47029647058503</v>
      </c>
      <c r="G90" s="4">
        <v>789.62381107255396</v>
      </c>
      <c r="H90" s="4">
        <v>988.24127679184596</v>
      </c>
      <c r="I90" s="4">
        <v>1133.39326749673</v>
      </c>
      <c r="J90" s="4">
        <v>1142.6246625210599</v>
      </c>
      <c r="K90" s="4">
        <v>1191.45458990968</v>
      </c>
      <c r="L90" s="4">
        <v>1325.67248215933</v>
      </c>
      <c r="M90" s="4">
        <v>1492.14269801453</v>
      </c>
      <c r="N90" s="4">
        <v>1461.3899923233701</v>
      </c>
      <c r="O90" s="4">
        <v>1398.58702025047</v>
      </c>
      <c r="P90" s="4">
        <v>1513.9605699487799</v>
      </c>
      <c r="Q90" s="4">
        <v>1449.0987436227899</v>
      </c>
      <c r="R90" s="4">
        <v>1575.92882118897</v>
      </c>
      <c r="S90" s="4">
        <v>1649.4433905948999</v>
      </c>
      <c r="T90" s="4">
        <v>1415.00009710569</v>
      </c>
      <c r="U90" s="4">
        <v>1441.7201725688001</v>
      </c>
      <c r="V90" s="4">
        <v>1496.08951771242</v>
      </c>
      <c r="W90" s="4">
        <v>1610.6964159101699</v>
      </c>
      <c r="X90" s="4">
        <v>1555.2266047647699</v>
      </c>
      <c r="Y90" s="4">
        <v>1555.60370660749</v>
      </c>
      <c r="Z90" s="4">
        <v>1672.3265734087199</v>
      </c>
      <c r="AA90" s="4">
        <v>1604.8772695489499</v>
      </c>
      <c r="AB90" s="4">
        <v>1720.4751015450599</v>
      </c>
      <c r="AC90" s="4">
        <v>1830.0083368472699</v>
      </c>
      <c r="AD90" s="7"/>
    </row>
    <row r="91" spans="1:30" x14ac:dyDescent="0.3">
      <c r="A91" s="2" t="s">
        <v>54</v>
      </c>
      <c r="B91" s="3" t="s">
        <v>55</v>
      </c>
      <c r="C91" s="2" t="s">
        <v>56</v>
      </c>
      <c r="D91" s="2" t="s">
        <v>10</v>
      </c>
      <c r="E91" s="5">
        <v>1.5109999999999999</v>
      </c>
      <c r="F91" s="5">
        <v>-0.107</v>
      </c>
      <c r="G91" s="5">
        <v>4.069</v>
      </c>
      <c r="H91" s="5">
        <v>2.097</v>
      </c>
      <c r="I91" s="5">
        <v>0.36099999999999999</v>
      </c>
      <c r="J91" s="5">
        <v>1.2490000000000001</v>
      </c>
      <c r="K91" s="5">
        <v>0.28299999999999997</v>
      </c>
      <c r="L91" s="5">
        <v>0.79200000000000004</v>
      </c>
      <c r="M91" s="5">
        <v>7.5999999999999998E-2</v>
      </c>
      <c r="N91" s="5">
        <v>2.6720000000000002</v>
      </c>
      <c r="O91" s="5">
        <v>1.95</v>
      </c>
      <c r="P91" s="5">
        <v>2.133</v>
      </c>
      <c r="Q91" s="5">
        <v>1.7490000000000001</v>
      </c>
      <c r="R91" s="5">
        <v>1.623</v>
      </c>
      <c r="S91" s="5">
        <v>1.9950000000000001</v>
      </c>
      <c r="T91" s="5">
        <v>2.1560000000000001</v>
      </c>
      <c r="U91" s="5">
        <v>1.9630000000000001</v>
      </c>
      <c r="V91" s="5">
        <v>2.2559999999999998</v>
      </c>
      <c r="W91" s="5">
        <v>1.915</v>
      </c>
      <c r="X91" s="5">
        <v>2.5830000000000002</v>
      </c>
      <c r="Y91" s="5">
        <v>1.6559999999999999</v>
      </c>
      <c r="Z91" s="5">
        <v>2.141</v>
      </c>
      <c r="AA91" s="5">
        <v>2.0870000000000002</v>
      </c>
      <c r="AB91" s="5">
        <v>1.6830000000000001</v>
      </c>
      <c r="AC91" s="5">
        <v>1.667</v>
      </c>
      <c r="AD91" s="7"/>
    </row>
    <row r="92" spans="1:30" x14ac:dyDescent="0.3">
      <c r="A92" s="2" t="s">
        <v>54</v>
      </c>
      <c r="B92" s="3" t="s">
        <v>55</v>
      </c>
      <c r="C92" s="2" t="s">
        <v>56</v>
      </c>
      <c r="D92" s="2" t="s">
        <v>11</v>
      </c>
      <c r="E92" s="5">
        <v>3.8324177943061399</v>
      </c>
      <c r="F92" s="5">
        <v>4.3242611922154897</v>
      </c>
      <c r="G92" s="5">
        <v>4.47702683369155</v>
      </c>
      <c r="H92" s="5">
        <v>5.4531536888134697</v>
      </c>
      <c r="I92" s="5">
        <v>7.0488628185837401</v>
      </c>
      <c r="J92" s="5">
        <v>2.2282702092411699</v>
      </c>
      <c r="K92" s="5">
        <v>3.8095832756613701</v>
      </c>
      <c r="L92" s="5">
        <v>4.32758900972871</v>
      </c>
      <c r="M92" s="5">
        <v>2.8476778892104999</v>
      </c>
      <c r="N92" s="5">
        <v>2.5792517773875399</v>
      </c>
      <c r="O92" s="5">
        <v>2.8990247212201399</v>
      </c>
      <c r="P92" s="5">
        <v>3.3792112850604501</v>
      </c>
      <c r="Q92" s="5">
        <v>4.6259787220957103</v>
      </c>
      <c r="R92" s="5">
        <v>4.9955291613078296</v>
      </c>
      <c r="S92" s="5">
        <v>5.7198181450919803</v>
      </c>
      <c r="T92" s="5">
        <v>5.6669529870393198</v>
      </c>
      <c r="U92" s="5">
        <v>4.5357942367880097</v>
      </c>
      <c r="V92" s="5">
        <v>3.54117654926007</v>
      </c>
      <c r="W92" s="5">
        <v>3.95551423892049</v>
      </c>
      <c r="X92" s="5">
        <v>3.4750599819498098</v>
      </c>
      <c r="Y92" s="5">
        <v>0.25993291590711498</v>
      </c>
      <c r="Z92" s="5">
        <v>3.3388574717950501</v>
      </c>
      <c r="AA92" s="5">
        <v>3.7367840056412001</v>
      </c>
      <c r="AB92" s="5">
        <v>3.3475629075021902</v>
      </c>
      <c r="AC92" s="5">
        <v>3.5247230805224499</v>
      </c>
      <c r="AD92" s="7"/>
    </row>
    <row r="93" spans="1:30" x14ac:dyDescent="0.3">
      <c r="A93" s="2" t="s">
        <v>57</v>
      </c>
      <c r="B93" s="3" t="s">
        <v>58</v>
      </c>
      <c r="C93" s="2" t="s">
        <v>56</v>
      </c>
      <c r="D93" s="2" t="s">
        <v>8</v>
      </c>
      <c r="E93" s="4">
        <v>889070</v>
      </c>
      <c r="F93" s="4">
        <v>5183900</v>
      </c>
      <c r="G93" s="4">
        <v>5644290</v>
      </c>
      <c r="H93" s="4">
        <v>11300000</v>
      </c>
      <c r="I93" s="4">
        <v>15100000</v>
      </c>
      <c r="J93" s="4">
        <v>10100000</v>
      </c>
      <c r="K93" s="4">
        <v>34670000</v>
      </c>
      <c r="L93" s="4">
        <v>56750000</v>
      </c>
      <c r="M93" s="4">
        <v>117110000</v>
      </c>
      <c r="N93" s="4">
        <v>42280000</v>
      </c>
      <c r="O93" s="4">
        <v>61520000</v>
      </c>
      <c r="P93" s="4">
        <v>36908460</v>
      </c>
      <c r="Q93" s="4">
        <v>70035160</v>
      </c>
      <c r="R93" s="4">
        <v>1852790</v>
      </c>
      <c r="S93" s="4">
        <v>3475010</v>
      </c>
      <c r="T93" s="4">
        <v>3000000</v>
      </c>
      <c r="U93" s="4">
        <v>7256090</v>
      </c>
      <c r="V93" s="4">
        <v>6888750</v>
      </c>
      <c r="W93" s="4">
        <v>18003540</v>
      </c>
      <c r="X93" s="4">
        <v>25601160</v>
      </c>
      <c r="Y93" s="4">
        <v>1737360</v>
      </c>
      <c r="Z93" s="4">
        <v>5409980</v>
      </c>
      <c r="AA93" s="4">
        <v>24047720</v>
      </c>
      <c r="AB93" s="4">
        <v>38742450</v>
      </c>
      <c r="AC93" s="4">
        <v>40406020</v>
      </c>
      <c r="AD93" s="7"/>
    </row>
    <row r="94" spans="1:30" x14ac:dyDescent="0.3">
      <c r="A94" s="2" t="s">
        <v>57</v>
      </c>
      <c r="B94" s="3" t="s">
        <v>58</v>
      </c>
      <c r="C94" s="2" t="s">
        <v>56</v>
      </c>
      <c r="D94" s="2" t="s">
        <v>9</v>
      </c>
      <c r="E94" s="4">
        <v>239.154133726071</v>
      </c>
      <c r="F94" s="4">
        <v>237.95170254473501</v>
      </c>
      <c r="G94" s="4">
        <v>248.63929097840301</v>
      </c>
      <c r="H94" s="4">
        <v>278.40399215094101</v>
      </c>
      <c r="I94" s="4">
        <v>303.46132115278198</v>
      </c>
      <c r="J94" s="4">
        <v>311.95002313868702</v>
      </c>
      <c r="K94" s="4">
        <v>333.94251990303098</v>
      </c>
      <c r="L94" s="4">
        <v>380.88704883947503</v>
      </c>
      <c r="M94" s="4">
        <v>437.24827472489</v>
      </c>
      <c r="N94" s="4">
        <v>456.47167389840399</v>
      </c>
      <c r="O94" s="4">
        <v>476.873786950728</v>
      </c>
      <c r="P94" s="4">
        <v>534.05728147163597</v>
      </c>
      <c r="Q94" s="4">
        <v>544.39584914278498</v>
      </c>
      <c r="R94" s="4">
        <v>364.36696260837999</v>
      </c>
      <c r="S94" s="4">
        <v>409.8504859647</v>
      </c>
      <c r="T94" s="4">
        <v>366.322853938121</v>
      </c>
      <c r="U94" s="4">
        <v>387.17620344431799</v>
      </c>
      <c r="V94" s="4">
        <v>432.32402568426301</v>
      </c>
      <c r="W94" s="4">
        <v>455.24396285953401</v>
      </c>
      <c r="X94" s="4">
        <v>449.22846760243903</v>
      </c>
      <c r="Y94" s="4">
        <v>462.87907129401202</v>
      </c>
      <c r="Z94" s="4">
        <v>492.26314283050698</v>
      </c>
      <c r="AA94" s="4">
        <v>467.35982502623801</v>
      </c>
      <c r="AB94" s="4">
        <v>495.97889728872099</v>
      </c>
      <c r="AC94" s="4">
        <v>516.16099999603603</v>
      </c>
      <c r="AD94" s="7"/>
    </row>
    <row r="95" spans="1:30" x14ac:dyDescent="0.3">
      <c r="A95" s="2" t="s">
        <v>57</v>
      </c>
      <c r="B95" s="3" t="s">
        <v>58</v>
      </c>
      <c r="C95" s="2" t="s">
        <v>56</v>
      </c>
      <c r="D95" s="2" t="s">
        <v>10</v>
      </c>
      <c r="E95" s="5">
        <v>9.7000000000000003E-2</v>
      </c>
      <c r="F95" s="5">
        <v>0.55600000000000005</v>
      </c>
      <c r="G95" s="5">
        <v>0.56699999999999995</v>
      </c>
      <c r="H95" s="5">
        <v>0.98899999999999999</v>
      </c>
      <c r="I95" s="5">
        <v>1.1870000000000001</v>
      </c>
      <c r="J95" s="5">
        <v>0.755</v>
      </c>
      <c r="K95" s="5">
        <v>2.3719999999999999</v>
      </c>
      <c r="L95" s="5">
        <v>3.339</v>
      </c>
      <c r="M95" s="5">
        <v>5.875</v>
      </c>
      <c r="N95" s="5">
        <v>2.0449999999999999</v>
      </c>
      <c r="O95" s="5">
        <v>2.871</v>
      </c>
      <c r="P95" s="5">
        <v>1.514</v>
      </c>
      <c r="Q95" s="5">
        <v>2.79</v>
      </c>
      <c r="R95" s="5">
        <v>0.11</v>
      </c>
      <c r="S95" s="5">
        <v>0.183</v>
      </c>
      <c r="T95" s="5">
        <v>0.17699999999999999</v>
      </c>
      <c r="U95" s="5">
        <v>0.39800000000000002</v>
      </c>
      <c r="V95" s="5">
        <v>0.33200000000000002</v>
      </c>
      <c r="W95" s="5">
        <v>0.81100000000000005</v>
      </c>
      <c r="X95" s="5">
        <v>1.153</v>
      </c>
      <c r="Y95" s="5">
        <v>7.4999999999999997E-2</v>
      </c>
      <c r="Z95" s="5">
        <v>0.215</v>
      </c>
      <c r="AA95" s="5">
        <v>1.0089999999999999</v>
      </c>
      <c r="AB95" s="5">
        <v>1.516</v>
      </c>
      <c r="AC95" s="5">
        <v>1.4690000000000001</v>
      </c>
      <c r="AD95" s="7"/>
    </row>
    <row r="96" spans="1:30" x14ac:dyDescent="0.3">
      <c r="A96" s="2" t="s">
        <v>57</v>
      </c>
      <c r="B96" s="3" t="s">
        <v>58</v>
      </c>
      <c r="C96" s="2" t="s">
        <v>56</v>
      </c>
      <c r="D96" s="2" t="s">
        <v>11</v>
      </c>
      <c r="E96" s="5">
        <v>-2.48943244028874</v>
      </c>
      <c r="F96" s="5">
        <v>4.4647390264086697</v>
      </c>
      <c r="G96" s="5">
        <v>3.6165421915059599</v>
      </c>
      <c r="H96" s="5">
        <v>-5.3974852185587698</v>
      </c>
      <c r="I96" s="5">
        <v>5.9948842279869599</v>
      </c>
      <c r="J96" s="5">
        <v>0.90821051487195403</v>
      </c>
      <c r="K96" s="5">
        <v>4.7710854304410502</v>
      </c>
      <c r="L96" s="5">
        <v>4.6075348545202504</v>
      </c>
      <c r="M96" s="5">
        <v>2.0541309620048498</v>
      </c>
      <c r="N96" s="5">
        <v>8.5872604264099408</v>
      </c>
      <c r="O96" s="5">
        <v>4.6308184322330703</v>
      </c>
      <c r="P96" s="5">
        <v>4.19461533741989</v>
      </c>
      <c r="Q96" s="5">
        <v>5.0537612535691796</v>
      </c>
      <c r="R96" s="5">
        <v>-36.391977098388701</v>
      </c>
      <c r="S96" s="5">
        <v>8.1070515326487694E-2</v>
      </c>
      <c r="T96" s="5">
        <v>4.3371210302023098</v>
      </c>
      <c r="U96" s="5">
        <v>4.7503168412234196</v>
      </c>
      <c r="V96" s="5">
        <v>4.52727821346231</v>
      </c>
      <c r="W96" s="5">
        <v>3.7894435927546199</v>
      </c>
      <c r="X96" s="5">
        <v>3.0999999999999899</v>
      </c>
      <c r="Y96" s="5">
        <v>0.899999996857062</v>
      </c>
      <c r="Z96" s="5">
        <v>0.98291999626422899</v>
      </c>
      <c r="AA96" s="5">
        <v>0.45390187644778701</v>
      </c>
      <c r="AB96" s="5">
        <v>0.69996840076054001</v>
      </c>
      <c r="AC96" s="5">
        <v>1.49999999847535</v>
      </c>
      <c r="AD96" s="7"/>
    </row>
    <row r="97" spans="1:30" x14ac:dyDescent="0.3">
      <c r="A97" s="2" t="s">
        <v>59</v>
      </c>
      <c r="B97" s="3" t="s">
        <v>60</v>
      </c>
      <c r="C97" s="2" t="s">
        <v>56</v>
      </c>
      <c r="D97" s="2" t="s">
        <v>8</v>
      </c>
      <c r="E97" s="4">
        <v>115172420</v>
      </c>
      <c r="F97" s="4">
        <v>459866390</v>
      </c>
      <c r="G97" s="4">
        <v>924119210</v>
      </c>
      <c r="H97" s="4">
        <v>712663450</v>
      </c>
      <c r="I97" s="4">
        <v>466793490</v>
      </c>
      <c r="J97" s="4">
        <v>-99342520</v>
      </c>
      <c r="K97" s="4">
        <v>-278414000</v>
      </c>
      <c r="L97" s="4">
        <v>-321655000</v>
      </c>
      <c r="M97" s="4">
        <v>466131000</v>
      </c>
      <c r="N97" s="4">
        <v>374900000</v>
      </c>
      <c r="O97" s="4">
        <v>313000000</v>
      </c>
      <c r="P97" s="4">
        <v>281900000</v>
      </c>
      <c r="Q97" s="4">
        <v>579793040</v>
      </c>
      <c r="R97" s="4">
        <v>520200750</v>
      </c>
      <c r="S97" s="4">
        <v>-675545920</v>
      </c>
      <c r="T97" s="4">
        <v>559642020</v>
      </c>
      <c r="U97" s="4">
        <v>244682120</v>
      </c>
      <c r="V97" s="4">
        <v>363381640</v>
      </c>
      <c r="W97" s="4">
        <v>460890510</v>
      </c>
      <c r="X97" s="4">
        <v>566638950</v>
      </c>
      <c r="Y97" s="4">
        <v>557692500</v>
      </c>
      <c r="Z97" s="4">
        <v>705100760</v>
      </c>
      <c r="AA97" s="4">
        <v>614018510</v>
      </c>
      <c r="AB97" s="4">
        <v>913332720</v>
      </c>
      <c r="AC97" s="4">
        <v>1019486410</v>
      </c>
      <c r="AD97" s="7"/>
    </row>
    <row r="98" spans="1:30" x14ac:dyDescent="0.3">
      <c r="A98" s="2" t="s">
        <v>59</v>
      </c>
      <c r="B98" s="3" t="s">
        <v>60</v>
      </c>
      <c r="C98" s="2" t="s">
        <v>56</v>
      </c>
      <c r="D98" s="2" t="s">
        <v>9</v>
      </c>
      <c r="E98" s="4">
        <v>163.12166368336901</v>
      </c>
      <c r="F98" s="4">
        <v>194.32295331156101</v>
      </c>
      <c r="G98" s="4">
        <v>219.06139195134901</v>
      </c>
      <c r="H98" s="4">
        <v>289.087621122168</v>
      </c>
      <c r="I98" s="4">
        <v>445.85076715708698</v>
      </c>
      <c r="J98" s="4">
        <v>838.09210771255698</v>
      </c>
      <c r="K98" s="4">
        <v>906.89726057274697</v>
      </c>
      <c r="L98" s="4">
        <v>980.48353148510296</v>
      </c>
      <c r="M98" s="4">
        <v>1166.3688345384101</v>
      </c>
      <c r="N98" s="4">
        <v>1035.63719694254</v>
      </c>
      <c r="O98" s="4">
        <v>1141.8006926841199</v>
      </c>
      <c r="P98" s="4">
        <v>1308.1421872538001</v>
      </c>
      <c r="Q98" s="4">
        <v>1354.3434470193699</v>
      </c>
      <c r="R98" s="4">
        <v>1304.8874297147499</v>
      </c>
      <c r="S98" s="4">
        <v>1278.7898142249401</v>
      </c>
      <c r="T98" s="4">
        <v>993.99073061086904</v>
      </c>
      <c r="U98" s="4">
        <v>861.83176763074596</v>
      </c>
      <c r="V98" s="4">
        <v>854.46120040098003</v>
      </c>
      <c r="W98" s="4">
        <v>948.65662987123096</v>
      </c>
      <c r="X98" s="4">
        <v>893.33644164332497</v>
      </c>
      <c r="Y98" s="4">
        <v>866.94781489040895</v>
      </c>
      <c r="Z98" s="4">
        <v>946.35850020837404</v>
      </c>
      <c r="AA98" s="4">
        <v>966.03646827856801</v>
      </c>
      <c r="AB98" s="4">
        <v>949.33345367459196</v>
      </c>
      <c r="AC98" s="4">
        <v>961.55975562506001</v>
      </c>
      <c r="AD98" s="7"/>
    </row>
    <row r="99" spans="1:30" x14ac:dyDescent="0.3">
      <c r="A99" s="2" t="s">
        <v>59</v>
      </c>
      <c r="B99" s="3" t="s">
        <v>60</v>
      </c>
      <c r="C99" s="2" t="s">
        <v>56</v>
      </c>
      <c r="D99" s="2" t="s">
        <v>10</v>
      </c>
      <c r="E99" s="5">
        <v>8.2949999999999999</v>
      </c>
      <c r="F99" s="5">
        <v>26.88</v>
      </c>
      <c r="G99" s="5">
        <v>46.274999999999999</v>
      </c>
      <c r="H99" s="5">
        <v>25.983000000000001</v>
      </c>
      <c r="I99" s="5">
        <v>10.554</v>
      </c>
      <c r="J99" s="5">
        <v>-1.1479999999999999</v>
      </c>
      <c r="K99" s="5">
        <v>-2.867</v>
      </c>
      <c r="L99" s="5">
        <v>-2.96</v>
      </c>
      <c r="M99" s="5">
        <v>3.4820000000000002</v>
      </c>
      <c r="N99" s="5">
        <v>3.044</v>
      </c>
      <c r="O99" s="5">
        <v>2.226</v>
      </c>
      <c r="P99" s="5">
        <v>1.69</v>
      </c>
      <c r="Q99" s="5">
        <v>3.24</v>
      </c>
      <c r="R99" s="5">
        <v>2.9119999999999999</v>
      </c>
      <c r="S99" s="5">
        <v>-3.7229999999999999</v>
      </c>
      <c r="T99" s="5">
        <v>3.8439999999999999</v>
      </c>
      <c r="U99" s="5">
        <v>1.8779999999999999</v>
      </c>
      <c r="V99" s="5">
        <v>2.722</v>
      </c>
      <c r="W99" s="5">
        <v>3.0070000000000001</v>
      </c>
      <c r="X99" s="5">
        <v>3.802</v>
      </c>
      <c r="Y99" s="5">
        <v>3.7349999999999999</v>
      </c>
      <c r="Z99" s="5">
        <v>4.1790000000000003</v>
      </c>
      <c r="AA99" s="5">
        <v>3.444</v>
      </c>
      <c r="AB99" s="5">
        <v>4.9800000000000004</v>
      </c>
      <c r="AC99" s="5">
        <v>5.2229999999999999</v>
      </c>
      <c r="AD99" s="7"/>
    </row>
    <row r="100" spans="1:30" x14ac:dyDescent="0.3">
      <c r="A100" s="2" t="s">
        <v>59</v>
      </c>
      <c r="B100" s="3" t="s">
        <v>60</v>
      </c>
      <c r="C100" s="2" t="s">
        <v>56</v>
      </c>
      <c r="D100" s="2" t="s">
        <v>11</v>
      </c>
      <c r="E100" s="5">
        <v>-0.87968102440392204</v>
      </c>
      <c r="F100" s="5">
        <v>11.658134654673701</v>
      </c>
      <c r="G100" s="5">
        <v>8.49120981920397</v>
      </c>
      <c r="H100" s="5">
        <v>14.721667012889901</v>
      </c>
      <c r="I100" s="5">
        <v>33.629371850519597</v>
      </c>
      <c r="J100" s="5">
        <v>17.332533735346601</v>
      </c>
      <c r="K100" s="5">
        <v>-0.54282957070441296</v>
      </c>
      <c r="L100" s="5">
        <v>4.2001741820649601</v>
      </c>
      <c r="M100" s="5">
        <v>3.0811903386192498</v>
      </c>
      <c r="N100" s="5">
        <v>-1.40828262674047</v>
      </c>
      <c r="O100" s="5">
        <v>13.6738272741836</v>
      </c>
      <c r="P100" s="5">
        <v>4.4954296694151203</v>
      </c>
      <c r="Q100" s="5">
        <v>9.0618039227670995</v>
      </c>
      <c r="R100" s="5">
        <v>2.8382152476899698</v>
      </c>
      <c r="S100" s="5">
        <v>2.0628307434769502</v>
      </c>
      <c r="T100" s="5">
        <v>3.3041597975963599</v>
      </c>
      <c r="U100" s="5">
        <v>-4.1225033267032298</v>
      </c>
      <c r="V100" s="5">
        <v>-1.6174692276029099</v>
      </c>
      <c r="W100" s="5">
        <v>5.7411158075815401</v>
      </c>
      <c r="X100" s="5">
        <v>5.3828220290379001</v>
      </c>
      <c r="Y100" s="5">
        <v>-0.39364658311103501</v>
      </c>
      <c r="Z100" s="5">
        <v>0.29344264815207999</v>
      </c>
      <c r="AA100" s="5">
        <v>4.1296989767633203</v>
      </c>
      <c r="AB100" s="5">
        <v>3.9800436840129301</v>
      </c>
      <c r="AC100" s="5">
        <v>4.1992585408586498</v>
      </c>
      <c r="AD100" s="7"/>
    </row>
    <row r="101" spans="1:30" x14ac:dyDescent="0.3">
      <c r="A101" s="2" t="s">
        <v>61</v>
      </c>
      <c r="B101" s="3" t="s">
        <v>62</v>
      </c>
      <c r="C101" s="2" t="s">
        <v>56</v>
      </c>
      <c r="D101" s="2" t="s">
        <v>8</v>
      </c>
      <c r="E101" s="4">
        <v>94190400</v>
      </c>
      <c r="F101" s="4">
        <v>102221900</v>
      </c>
      <c r="G101" s="4">
        <v>187598690</v>
      </c>
      <c r="H101" s="4">
        <v>391254720</v>
      </c>
      <c r="I101" s="4">
        <v>409032810</v>
      </c>
      <c r="J101" s="4">
        <v>180000000</v>
      </c>
      <c r="K101" s="4">
        <v>256100000</v>
      </c>
      <c r="L101" s="4">
        <v>1808000000</v>
      </c>
      <c r="M101" s="4">
        <v>1726800000</v>
      </c>
      <c r="N101" s="4">
        <v>-243200000</v>
      </c>
      <c r="O101" s="4">
        <v>2742300000</v>
      </c>
      <c r="P101" s="4">
        <v>1596024303.8568599</v>
      </c>
      <c r="Q101" s="4">
        <v>2891607809.0954199</v>
      </c>
      <c r="R101" s="4">
        <v>1697585830.8062601</v>
      </c>
      <c r="S101" s="4">
        <v>1499572152.4979701</v>
      </c>
      <c r="T101" s="4">
        <v>1165720010.3076701</v>
      </c>
      <c r="U101" s="4">
        <v>932374669.38090706</v>
      </c>
      <c r="V101" s="4">
        <v>1047979482.5552599</v>
      </c>
      <c r="W101" s="4">
        <v>1407563588.4242201</v>
      </c>
      <c r="X101" s="4">
        <v>1350994226.2053499</v>
      </c>
      <c r="Y101" s="4">
        <v>1498084807.8648</v>
      </c>
      <c r="Z101" s="4">
        <v>1677673789.73561</v>
      </c>
      <c r="AA101" s="4">
        <v>1409373841.76263</v>
      </c>
      <c r="AB101" s="4">
        <v>2375258886.51998</v>
      </c>
      <c r="AC101" s="4">
        <v>2915055322.56637</v>
      </c>
      <c r="AD101" s="7"/>
    </row>
    <row r="102" spans="1:30" x14ac:dyDescent="0.3">
      <c r="A102" s="2" t="s">
        <v>61</v>
      </c>
      <c r="B102" s="3" t="s">
        <v>62</v>
      </c>
      <c r="C102" s="2" t="s">
        <v>56</v>
      </c>
      <c r="D102" s="2" t="s">
        <v>9</v>
      </c>
      <c r="E102" s="4">
        <v>377.92542148139501</v>
      </c>
      <c r="F102" s="4">
        <v>142.67814260441199</v>
      </c>
      <c r="G102" s="4">
        <v>162.38052907429</v>
      </c>
      <c r="H102" s="4">
        <v>161.49155352439601</v>
      </c>
      <c r="I102" s="4">
        <v>180.66476496363299</v>
      </c>
      <c r="J102" s="4">
        <v>214.539740473519</v>
      </c>
      <c r="K102" s="4">
        <v>255.44522956875099</v>
      </c>
      <c r="L102" s="4">
        <v>294.10161512441903</v>
      </c>
      <c r="M102" s="4">
        <v>352.90036337199501</v>
      </c>
      <c r="N102" s="4">
        <v>280.17899103579299</v>
      </c>
      <c r="O102" s="4">
        <v>352.40039875469199</v>
      </c>
      <c r="P102" s="4">
        <v>372.514273875789</v>
      </c>
      <c r="Q102" s="4">
        <v>409.931424783784</v>
      </c>
      <c r="R102" s="4">
        <v>460.37033493010699</v>
      </c>
      <c r="S102" s="4">
        <v>489.17595209732002</v>
      </c>
      <c r="T102" s="4">
        <v>495.82663301488299</v>
      </c>
      <c r="U102" s="4">
        <v>459.76503659038798</v>
      </c>
      <c r="V102" s="4">
        <v>431.052559128788</v>
      </c>
      <c r="W102" s="4">
        <v>518.16962687537102</v>
      </c>
      <c r="X102" s="4">
        <v>504.00419142286</v>
      </c>
      <c r="Y102" s="4">
        <v>486.42557268225602</v>
      </c>
      <c r="Z102" s="4">
        <v>595.74307440356699</v>
      </c>
      <c r="AA102" s="4">
        <v>687.73858755468495</v>
      </c>
      <c r="AB102" s="4">
        <v>660.21205238997004</v>
      </c>
      <c r="AC102" s="4">
        <v>649.38333855672499</v>
      </c>
      <c r="AD102" s="7"/>
    </row>
    <row r="103" spans="1:30" x14ac:dyDescent="0.3">
      <c r="A103" s="2" t="s">
        <v>61</v>
      </c>
      <c r="B103" s="3" t="s">
        <v>62</v>
      </c>
      <c r="C103" s="2" t="s">
        <v>56</v>
      </c>
      <c r="D103" s="2" t="s">
        <v>10</v>
      </c>
      <c r="E103" s="5">
        <v>0.49299999999999999</v>
      </c>
      <c r="F103" s="5">
        <v>1.3740000000000001</v>
      </c>
      <c r="G103" s="5">
        <v>2.149</v>
      </c>
      <c r="H103" s="5">
        <v>4.3780000000000001</v>
      </c>
      <c r="I103" s="5">
        <v>3.972</v>
      </c>
      <c r="J103" s="5">
        <v>1.427</v>
      </c>
      <c r="K103" s="5">
        <v>1.6539999999999999</v>
      </c>
      <c r="L103" s="5">
        <v>9.84</v>
      </c>
      <c r="M103" s="5">
        <v>7.5990000000000002</v>
      </c>
      <c r="N103" s="5">
        <v>-1.3069999999999999</v>
      </c>
      <c r="O103" s="5">
        <v>11.35</v>
      </c>
      <c r="P103" s="5">
        <v>6.0469999999999997</v>
      </c>
      <c r="Q103" s="5">
        <v>9.6289999999999996</v>
      </c>
      <c r="R103" s="5">
        <v>4.8650000000000002</v>
      </c>
      <c r="S103" s="5">
        <v>3.91</v>
      </c>
      <c r="T103" s="5">
        <v>2.9009999999999998</v>
      </c>
      <c r="U103" s="5">
        <v>2.415</v>
      </c>
      <c r="V103" s="5">
        <v>2.7919999999999998</v>
      </c>
      <c r="W103" s="5">
        <v>3.0169999999999999</v>
      </c>
      <c r="X103" s="5">
        <v>2.8839999999999999</v>
      </c>
      <c r="Y103" s="5">
        <v>3.2080000000000002</v>
      </c>
      <c r="Z103" s="5">
        <v>2.84</v>
      </c>
      <c r="AA103" s="5">
        <v>2.0009999999999999</v>
      </c>
      <c r="AB103" s="5">
        <v>3.4009999999999998</v>
      </c>
      <c r="AC103" s="5">
        <v>4.1079999999999997</v>
      </c>
      <c r="AD103" s="7"/>
    </row>
    <row r="104" spans="1:30" x14ac:dyDescent="0.3">
      <c r="A104" s="2" t="s">
        <v>61</v>
      </c>
      <c r="B104" s="3" t="s">
        <v>62</v>
      </c>
      <c r="C104" s="2" t="s">
        <v>56</v>
      </c>
      <c r="D104" s="2" t="s">
        <v>11</v>
      </c>
      <c r="E104" s="5">
        <v>-6.9109273165210396</v>
      </c>
      <c r="F104" s="5">
        <v>-2.10017302488848</v>
      </c>
      <c r="G104" s="5">
        <v>2.9477651835976699</v>
      </c>
      <c r="H104" s="5">
        <v>5.5778223114443897</v>
      </c>
      <c r="I104" s="5">
        <v>6.7383739332429302</v>
      </c>
      <c r="J104" s="5">
        <v>6.1351511554896803</v>
      </c>
      <c r="K104" s="5">
        <v>5.10894433184896</v>
      </c>
      <c r="L104" s="5">
        <v>8.5299297424358507</v>
      </c>
      <c r="M104" s="5">
        <v>7.4017233753979204</v>
      </c>
      <c r="N104" s="5">
        <v>0.56548155760471297</v>
      </c>
      <c r="O104" s="5">
        <v>7.8430078219124901</v>
      </c>
      <c r="P104" s="5">
        <v>7.5933172129495903</v>
      </c>
      <c r="Q104" s="5">
        <v>8.6685936053192201</v>
      </c>
      <c r="R104" s="5">
        <v>9.6244887921687905</v>
      </c>
      <c r="S104" s="5">
        <v>7.3022775087026304</v>
      </c>
      <c r="T104" s="5">
        <v>6.3597375616482896</v>
      </c>
      <c r="U104" s="5">
        <v>0.39383279815456301</v>
      </c>
      <c r="V104" s="5">
        <v>4.2412104727271904</v>
      </c>
      <c r="W104" s="5">
        <v>6.0716887064661504</v>
      </c>
      <c r="X104" s="5">
        <v>0.55538429458081895</v>
      </c>
      <c r="Y104" s="5">
        <v>0.77542799235462201</v>
      </c>
      <c r="Z104" s="5">
        <v>6.4296100564735497</v>
      </c>
      <c r="AA104" s="5">
        <v>9.3111694406491807</v>
      </c>
      <c r="AB104" s="5">
        <v>8.5334898318451007</v>
      </c>
      <c r="AC104" s="5">
        <v>6.1267555177921196</v>
      </c>
      <c r="AD104" s="7"/>
    </row>
    <row r="105" spans="1:30" x14ac:dyDescent="0.3">
      <c r="A105" s="2" t="s">
        <v>63</v>
      </c>
      <c r="B105" s="3" t="s">
        <v>64</v>
      </c>
      <c r="C105" s="2" t="s">
        <v>56</v>
      </c>
      <c r="D105" s="2" t="s">
        <v>8</v>
      </c>
      <c r="E105" s="4">
        <v>-98141674.346360594</v>
      </c>
      <c r="F105" s="4">
        <v>-135479673.01522401</v>
      </c>
      <c r="G105" s="4">
        <v>200095651.48564401</v>
      </c>
      <c r="H105" s="4">
        <v>220038914.195923</v>
      </c>
      <c r="I105" s="4">
        <v>88557997.224403903</v>
      </c>
      <c r="J105" s="4">
        <v>801314933.87191701</v>
      </c>
      <c r="K105" s="4">
        <v>1489015781.2532301</v>
      </c>
      <c r="L105" s="4">
        <v>1424251935.6347101</v>
      </c>
      <c r="M105" s="4">
        <v>1947972913.2063899</v>
      </c>
      <c r="N105" s="4">
        <v>1189051286.3796999</v>
      </c>
      <c r="O105" s="4">
        <v>1522228646.3391199</v>
      </c>
      <c r="P105" s="4">
        <v>298678855.10598302</v>
      </c>
      <c r="Q105" s="4">
        <v>-69249948.217356503</v>
      </c>
      <c r="R105" s="4">
        <v>1878859499.3496599</v>
      </c>
      <c r="S105" s="4">
        <v>2891102397.1238799</v>
      </c>
      <c r="T105" s="4">
        <v>4279839199.1127801</v>
      </c>
      <c r="U105" s="4">
        <v>50608700.352612302</v>
      </c>
      <c r="V105" s="4">
        <v>4416953730</v>
      </c>
      <c r="W105" s="4">
        <v>4315250920</v>
      </c>
      <c r="X105" s="4">
        <v>-1427679257.0589399</v>
      </c>
      <c r="Y105" s="4">
        <v>-1983178866.50125</v>
      </c>
      <c r="Z105" s="4">
        <v>-320209517.69602197</v>
      </c>
      <c r="AA105" s="4">
        <v>532256250</v>
      </c>
      <c r="AB105" s="4">
        <v>626473710</v>
      </c>
      <c r="AC105" s="4">
        <v>603616460</v>
      </c>
      <c r="AD105" s="7"/>
    </row>
    <row r="106" spans="1:30" x14ac:dyDescent="0.3">
      <c r="A106" s="2" t="s">
        <v>63</v>
      </c>
      <c r="B106" s="3" t="s">
        <v>64</v>
      </c>
      <c r="C106" s="2" t="s">
        <v>56</v>
      </c>
      <c r="D106" s="2" t="s">
        <v>9</v>
      </c>
      <c r="E106" s="4">
        <v>1024.30159109181</v>
      </c>
      <c r="F106" s="4">
        <v>854.59831440809501</v>
      </c>
      <c r="G106" s="4">
        <v>905.53813554470503</v>
      </c>
      <c r="H106" s="4">
        <v>1016.82363412143</v>
      </c>
      <c r="I106" s="4">
        <v>1306.1013632459899</v>
      </c>
      <c r="J106" s="4">
        <v>1799.05158366154</v>
      </c>
      <c r="K106" s="4">
        <v>2103.5821381210999</v>
      </c>
      <c r="L106" s="4">
        <v>2206.4710186341399</v>
      </c>
      <c r="M106" s="4">
        <v>2832.0917777764298</v>
      </c>
      <c r="N106" s="4">
        <v>2271.1521917596701</v>
      </c>
      <c r="O106" s="4">
        <v>2946.5579806770802</v>
      </c>
      <c r="P106" s="4">
        <v>3396.1650581795202</v>
      </c>
      <c r="Q106" s="4">
        <v>3732.3273732038901</v>
      </c>
      <c r="R106" s="4">
        <v>3697.4170588425</v>
      </c>
      <c r="S106" s="4">
        <v>3601.2365808718</v>
      </c>
      <c r="T106" s="4">
        <v>2439.3518940369599</v>
      </c>
      <c r="U106" s="4">
        <v>2093.1072855884299</v>
      </c>
      <c r="V106" s="4">
        <v>2211.6330987479701</v>
      </c>
      <c r="W106" s="4">
        <v>2694.43413191427</v>
      </c>
      <c r="X106" s="4">
        <v>2488.4246672491599</v>
      </c>
      <c r="Y106" s="4">
        <v>1993.586671931</v>
      </c>
      <c r="Z106" s="4">
        <v>2516.1625514543198</v>
      </c>
      <c r="AA106" s="4">
        <v>2620.83804267402</v>
      </c>
      <c r="AB106" s="4">
        <v>2477.97845544866</v>
      </c>
      <c r="AC106" s="4">
        <v>2482.2489948456</v>
      </c>
      <c r="AD106" s="7"/>
    </row>
    <row r="107" spans="1:30" x14ac:dyDescent="0.3">
      <c r="A107" s="2" t="s">
        <v>63</v>
      </c>
      <c r="B107" s="3" t="s">
        <v>64</v>
      </c>
      <c r="C107" s="2" t="s">
        <v>56</v>
      </c>
      <c r="D107" s="2" t="s">
        <v>10</v>
      </c>
      <c r="E107" s="5">
        <v>-3.04</v>
      </c>
      <c r="F107" s="5">
        <v>-4.8440000000000003</v>
      </c>
      <c r="G107" s="5">
        <v>6.5949999999999998</v>
      </c>
      <c r="H107" s="5">
        <v>6.28</v>
      </c>
      <c r="I107" s="5">
        <v>1.9019999999999999</v>
      </c>
      <c r="J107" s="5">
        <v>12.05</v>
      </c>
      <c r="K107" s="5">
        <v>18.446000000000002</v>
      </c>
      <c r="L107" s="5">
        <v>16.216999999999999</v>
      </c>
      <c r="M107" s="5">
        <v>16.721</v>
      </c>
      <c r="N107" s="5">
        <v>12.228999999999999</v>
      </c>
      <c r="O107" s="5">
        <v>11.577</v>
      </c>
      <c r="P107" s="5">
        <v>1.9079999999999999</v>
      </c>
      <c r="Q107" s="5">
        <v>-0.39100000000000001</v>
      </c>
      <c r="R107" s="5">
        <v>10.462</v>
      </c>
      <c r="S107" s="5">
        <v>16.134</v>
      </c>
      <c r="T107" s="5">
        <v>34.417999999999999</v>
      </c>
      <c r="U107" s="5">
        <v>0.46300000000000002</v>
      </c>
      <c r="V107" s="5">
        <v>37.323</v>
      </c>
      <c r="W107" s="5">
        <v>29.209</v>
      </c>
      <c r="X107" s="5">
        <v>-10.215</v>
      </c>
      <c r="Y107" s="5">
        <v>-17.292000000000002</v>
      </c>
      <c r="Z107" s="5">
        <v>-2.16</v>
      </c>
      <c r="AA107" s="5">
        <v>3.3650000000000002</v>
      </c>
      <c r="AB107" s="5">
        <v>4.0890000000000004</v>
      </c>
      <c r="AC107" s="5">
        <v>3.84</v>
      </c>
      <c r="AD107" s="7"/>
    </row>
    <row r="108" spans="1:30" x14ac:dyDescent="0.3">
      <c r="A108" s="2" t="s">
        <v>63</v>
      </c>
      <c r="B108" s="3" t="s">
        <v>64</v>
      </c>
      <c r="C108" s="2" t="s">
        <v>56</v>
      </c>
      <c r="D108" s="2" t="s">
        <v>11</v>
      </c>
      <c r="E108" s="5">
        <v>7.5759803952642004</v>
      </c>
      <c r="F108" s="5">
        <v>3.8026018991356101</v>
      </c>
      <c r="G108" s="5">
        <v>4.5818700610888898</v>
      </c>
      <c r="H108" s="5">
        <v>0.81326407630378095</v>
      </c>
      <c r="I108" s="5">
        <v>3.4766316211808901</v>
      </c>
      <c r="J108" s="5">
        <v>7.7557589780664804</v>
      </c>
      <c r="K108" s="5">
        <v>7.9862383633429097</v>
      </c>
      <c r="L108" s="5">
        <v>-6.6139948044100096</v>
      </c>
      <c r="M108" s="5">
        <v>6.30637595585259</v>
      </c>
      <c r="N108" s="5">
        <v>11.637288861575801</v>
      </c>
      <c r="O108" s="5">
        <v>9.9312654309557793</v>
      </c>
      <c r="P108" s="5">
        <v>2.20591936286718</v>
      </c>
      <c r="Q108" s="5">
        <v>9.9471531425756403</v>
      </c>
      <c r="R108" s="5">
        <v>-0.71243445187644705</v>
      </c>
      <c r="S108" s="5">
        <v>6.6460654092844802</v>
      </c>
      <c r="T108" s="5">
        <v>0.41519306129376299</v>
      </c>
      <c r="U108" s="5">
        <v>-8.6852434391378601</v>
      </c>
      <c r="V108" s="5">
        <v>-5.5947737191554703</v>
      </c>
      <c r="W108" s="5">
        <v>-2.3043178012584198</v>
      </c>
      <c r="X108" s="5">
        <v>1.12447391976529</v>
      </c>
      <c r="Y108" s="5">
        <v>-6.2677722796322497</v>
      </c>
      <c r="Z108" s="5">
        <v>1.01507036990908</v>
      </c>
      <c r="AA108" s="5">
        <v>1.47535613247133</v>
      </c>
      <c r="AB108" s="5">
        <v>1.9068642634675399</v>
      </c>
      <c r="AC108" s="5">
        <v>2.5796694392172101</v>
      </c>
      <c r="AD108" s="7"/>
    </row>
    <row r="109" spans="1:30" x14ac:dyDescent="0.3">
      <c r="A109" s="2" t="s">
        <v>65</v>
      </c>
      <c r="B109" s="3" t="s">
        <v>66</v>
      </c>
      <c r="C109" s="2" t="s">
        <v>56</v>
      </c>
      <c r="D109" s="2" t="s">
        <v>8</v>
      </c>
      <c r="E109" s="4">
        <v>154499590</v>
      </c>
      <c r="F109" s="4">
        <v>940741220</v>
      </c>
      <c r="G109" s="4">
        <v>323391510</v>
      </c>
      <c r="H109" s="4">
        <v>689779770</v>
      </c>
      <c r="I109" s="4">
        <v>340914470</v>
      </c>
      <c r="J109" s="4">
        <v>769146190</v>
      </c>
      <c r="K109" s="4">
        <v>469506010</v>
      </c>
      <c r="L109" s="4">
        <v>1242731090</v>
      </c>
      <c r="M109" s="4">
        <v>-793872330</v>
      </c>
      <c r="N109" s="4">
        <v>1636219630</v>
      </c>
      <c r="O109" s="4">
        <v>2734000000</v>
      </c>
      <c r="P109" s="4">
        <v>1975000000</v>
      </c>
      <c r="Q109" s="4">
        <v>985256410</v>
      </c>
      <c r="R109" s="4">
        <v>582948700</v>
      </c>
      <c r="S109" s="4">
        <v>167875180</v>
      </c>
      <c r="T109" s="4">
        <v>1187699010</v>
      </c>
      <c r="U109" s="4">
        <v>1755302290</v>
      </c>
      <c r="V109" s="4">
        <v>384833210</v>
      </c>
      <c r="W109" s="4">
        <v>-144465770</v>
      </c>
      <c r="X109" s="4">
        <v>821413130</v>
      </c>
      <c r="Y109" s="4">
        <v>-9072490</v>
      </c>
      <c r="Z109" s="4">
        <v>561595620</v>
      </c>
      <c r="AA109" s="4">
        <v>1388191640</v>
      </c>
      <c r="AB109" s="4">
        <v>141780890</v>
      </c>
      <c r="AC109" s="4">
        <v>188011680</v>
      </c>
      <c r="AD109" s="7"/>
    </row>
    <row r="110" spans="1:30" x14ac:dyDescent="0.3">
      <c r="A110" s="2" t="s">
        <v>65</v>
      </c>
      <c r="B110" s="3" t="s">
        <v>66</v>
      </c>
      <c r="C110" s="2" t="s">
        <v>56</v>
      </c>
      <c r="D110" s="2" t="s">
        <v>9</v>
      </c>
      <c r="E110" s="4">
        <v>1487.3165506701</v>
      </c>
      <c r="F110" s="4">
        <v>1948.61145907844</v>
      </c>
      <c r="G110" s="4">
        <v>2264.2106558036498</v>
      </c>
      <c r="H110" s="4">
        <v>2930.6018374373298</v>
      </c>
      <c r="I110" s="4">
        <v>4901.3012740811901</v>
      </c>
      <c r="J110" s="4">
        <v>8673.9026086534996</v>
      </c>
      <c r="K110" s="4">
        <v>10184.884124854199</v>
      </c>
      <c r="L110" s="4">
        <v>12616.953294201099</v>
      </c>
      <c r="M110" s="4">
        <v>18210.555297059898</v>
      </c>
      <c r="N110" s="4">
        <v>13232.501937810201</v>
      </c>
      <c r="O110" s="4">
        <v>13720.165872322201</v>
      </c>
      <c r="P110" s="4">
        <v>17198.213666827502</v>
      </c>
      <c r="Q110" s="4">
        <v>17308.5723924575</v>
      </c>
      <c r="R110" s="4">
        <v>16304.0713196418</v>
      </c>
      <c r="S110" s="4">
        <v>15548.662465661901</v>
      </c>
      <c r="T110" s="4">
        <v>9068.9100323864495</v>
      </c>
      <c r="U110" s="4">
        <v>7453.1979794851704</v>
      </c>
      <c r="V110" s="4">
        <v>7809.1046565548804</v>
      </c>
      <c r="W110" s="4">
        <v>8102.4708483403101</v>
      </c>
      <c r="X110" s="4">
        <v>6804.1492307388799</v>
      </c>
      <c r="Y110" s="4">
        <v>5764.0550291294703</v>
      </c>
      <c r="Z110" s="4">
        <v>6945.6306979453902</v>
      </c>
      <c r="AA110" s="4">
        <v>7589.2996490938103</v>
      </c>
      <c r="AB110" s="4">
        <v>6677.7934353860001</v>
      </c>
      <c r="AC110" s="4">
        <v>6745.4001324491601</v>
      </c>
      <c r="AD110" s="7"/>
    </row>
    <row r="111" spans="1:30" x14ac:dyDescent="0.3">
      <c r="A111" s="2" t="s">
        <v>65</v>
      </c>
      <c r="B111" s="3" t="s">
        <v>66</v>
      </c>
      <c r="C111" s="2" t="s">
        <v>56</v>
      </c>
      <c r="D111" s="2" t="s">
        <v>10</v>
      </c>
      <c r="E111" s="5">
        <v>14.771000000000001</v>
      </c>
      <c r="F111" s="5">
        <v>64.384</v>
      </c>
      <c r="G111" s="5">
        <v>17.899000000000001</v>
      </c>
      <c r="H111" s="5">
        <v>27.760999999999999</v>
      </c>
      <c r="I111" s="5">
        <v>7.7290000000000001</v>
      </c>
      <c r="J111" s="5">
        <v>9.36</v>
      </c>
      <c r="K111" s="5">
        <v>4.6550000000000002</v>
      </c>
      <c r="L111" s="5">
        <v>9.5069999999999997</v>
      </c>
      <c r="M111" s="5">
        <v>-4.0199999999999996</v>
      </c>
      <c r="N111" s="5">
        <v>10.888</v>
      </c>
      <c r="O111" s="5">
        <v>16.757999999999999</v>
      </c>
      <c r="P111" s="5">
        <v>9.2469999999999999</v>
      </c>
      <c r="Q111" s="5">
        <v>4.4009999999999998</v>
      </c>
      <c r="R111" s="5">
        <v>2.6560000000000001</v>
      </c>
      <c r="S111" s="5">
        <v>0.77100000000000002</v>
      </c>
      <c r="T111" s="5">
        <v>9.0079999999999991</v>
      </c>
      <c r="U111" s="5">
        <v>15.615</v>
      </c>
      <c r="V111" s="5">
        <v>3.1539999999999999</v>
      </c>
      <c r="W111" s="5">
        <v>-1.103</v>
      </c>
      <c r="X111" s="5">
        <v>7.2279999999999998</v>
      </c>
      <c r="Y111" s="5">
        <v>-9.1999999999999998E-2</v>
      </c>
      <c r="Z111" s="5">
        <v>4.5970000000000004</v>
      </c>
      <c r="AA111" s="5">
        <v>10.141999999999999</v>
      </c>
      <c r="AB111" s="5">
        <v>1.149</v>
      </c>
      <c r="AC111" s="5">
        <v>1.4730000000000001</v>
      </c>
      <c r="AD111" s="7"/>
    </row>
    <row r="112" spans="1:30" x14ac:dyDescent="0.3">
      <c r="A112" s="2" t="s">
        <v>65</v>
      </c>
      <c r="B112" s="3" t="s">
        <v>66</v>
      </c>
      <c r="C112" s="2" t="s">
        <v>56</v>
      </c>
      <c r="D112" s="2" t="s">
        <v>11</v>
      </c>
      <c r="E112" s="5">
        <v>18.2137799569674</v>
      </c>
      <c r="F112" s="5">
        <v>63.379875425060199</v>
      </c>
      <c r="G112" s="5">
        <v>19.462834035925098</v>
      </c>
      <c r="H112" s="5">
        <v>13.9552503163825</v>
      </c>
      <c r="I112" s="5">
        <v>37.998726855642303</v>
      </c>
      <c r="J112" s="5">
        <v>16.748700605354099</v>
      </c>
      <c r="K112" s="5">
        <v>7.7049176065876699</v>
      </c>
      <c r="L112" s="5">
        <v>15.282113919485701</v>
      </c>
      <c r="M112" s="5">
        <v>17.799109133381101</v>
      </c>
      <c r="N112" s="5">
        <v>1.34335628806095</v>
      </c>
      <c r="O112" s="5">
        <v>-8.9241758885180609</v>
      </c>
      <c r="P112" s="5">
        <v>6.5239236298987304</v>
      </c>
      <c r="Q112" s="5">
        <v>8.31287184445641</v>
      </c>
      <c r="R112" s="5">
        <v>-4.1331985013158299</v>
      </c>
      <c r="S112" s="5">
        <v>0.41506630159686603</v>
      </c>
      <c r="T112" s="5">
        <v>-9.1100411488153696</v>
      </c>
      <c r="U112" s="5">
        <v>-8.8164172321975691</v>
      </c>
      <c r="V112" s="5">
        <v>-5.6675085048668601</v>
      </c>
      <c r="W112" s="5">
        <v>-6.2365440673457497</v>
      </c>
      <c r="X112" s="5">
        <v>-5.4818253789344498</v>
      </c>
      <c r="Y112" s="5">
        <v>-4.7910808338329396</v>
      </c>
      <c r="Z112" s="5">
        <v>0.86026995638206905</v>
      </c>
      <c r="AA112" s="5">
        <v>3.2235083165859799</v>
      </c>
      <c r="AB112" s="5">
        <v>-5.0893087207153203</v>
      </c>
      <c r="AC112" s="5">
        <v>0.90724824598673603</v>
      </c>
      <c r="AD112" s="7"/>
    </row>
    <row r="113" spans="1:30" x14ac:dyDescent="0.3">
      <c r="A113" s="2" t="s">
        <v>67</v>
      </c>
      <c r="B113" s="3" t="s">
        <v>68</v>
      </c>
      <c r="C113" s="2" t="s">
        <v>56</v>
      </c>
      <c r="D113" s="2" t="s">
        <v>8</v>
      </c>
      <c r="E113" s="4">
        <v>278061231.96768498</v>
      </c>
      <c r="F113" s="4">
        <v>-100615451.014713</v>
      </c>
      <c r="G113" s="4">
        <v>1160708.31013769</v>
      </c>
      <c r="H113" s="4">
        <v>99666154.023340598</v>
      </c>
      <c r="I113" s="4">
        <v>313970792.03963798</v>
      </c>
      <c r="J113" s="4">
        <v>326161877.89787698</v>
      </c>
      <c r="K113" s="4">
        <v>267805000</v>
      </c>
      <c r="L113" s="4">
        <v>654808577.18885303</v>
      </c>
      <c r="M113" s="4">
        <v>693511288.98899901</v>
      </c>
      <c r="N113" s="4">
        <v>635674956.84835196</v>
      </c>
      <c r="O113" s="4">
        <v>523939106.19184399</v>
      </c>
      <c r="P113" s="4">
        <v>1123536918.9849701</v>
      </c>
      <c r="Q113" s="4">
        <v>677327365.54555702</v>
      </c>
      <c r="R113" s="4">
        <v>324032442.445876</v>
      </c>
      <c r="S113" s="4">
        <v>1263109047.12989</v>
      </c>
      <c r="T113" s="4">
        <v>41707702.326465502</v>
      </c>
      <c r="U113" s="4">
        <v>1243660160</v>
      </c>
      <c r="V113" s="4">
        <v>1314029330</v>
      </c>
      <c r="W113" s="4">
        <v>1379070820</v>
      </c>
      <c r="X113" s="4">
        <v>1553136880</v>
      </c>
      <c r="Y113" s="4">
        <v>1716511510</v>
      </c>
      <c r="Z113" s="4">
        <v>1529221080</v>
      </c>
      <c r="AA113" s="4">
        <v>1104592040</v>
      </c>
      <c r="AB113" s="4">
        <v>1150733280</v>
      </c>
      <c r="AC113" s="4">
        <v>1144562350</v>
      </c>
      <c r="AD113" s="7"/>
    </row>
    <row r="114" spans="1:30" x14ac:dyDescent="0.3">
      <c r="A114" s="2" t="s">
        <v>67</v>
      </c>
      <c r="B114" s="3" t="s">
        <v>68</v>
      </c>
      <c r="C114" s="2" t="s">
        <v>56</v>
      </c>
      <c r="D114" s="2" t="s">
        <v>9</v>
      </c>
      <c r="E114" s="4">
        <v>3982.9062009280001</v>
      </c>
      <c r="F114" s="4">
        <v>3835.7571827972702</v>
      </c>
      <c r="G114" s="4">
        <v>3966.48001864663</v>
      </c>
      <c r="H114" s="4">
        <v>4710.7486276815098</v>
      </c>
      <c r="I114" s="4">
        <v>5465.7919359070802</v>
      </c>
      <c r="J114" s="4">
        <v>6547.8761395518604</v>
      </c>
      <c r="K114" s="4">
        <v>6847.0098568539397</v>
      </c>
      <c r="L114" s="4">
        <v>8003.54289696049</v>
      </c>
      <c r="M114" s="4">
        <v>9688.6451969063291</v>
      </c>
      <c r="N114" s="4">
        <v>7290.5752609311403</v>
      </c>
      <c r="O114" s="4">
        <v>8356.7466201334501</v>
      </c>
      <c r="P114" s="4">
        <v>10219.1139339454</v>
      </c>
      <c r="Q114" s="4">
        <v>9296.96587941088</v>
      </c>
      <c r="R114" s="4">
        <v>9197.7010632394704</v>
      </c>
      <c r="S114" s="4">
        <v>9201.3627664810501</v>
      </c>
      <c r="T114" s="4">
        <v>7047.1265463435502</v>
      </c>
      <c r="U114" s="4">
        <v>6677.0700390164402</v>
      </c>
      <c r="V114" s="4">
        <v>6921.7337313562402</v>
      </c>
      <c r="W114" s="4">
        <v>7624.2775233770999</v>
      </c>
      <c r="X114" s="4">
        <v>7441.1786472281001</v>
      </c>
      <c r="Y114" s="4">
        <v>6605.8034607756499</v>
      </c>
      <c r="Z114" s="4">
        <v>8181.4091413465603</v>
      </c>
      <c r="AA114" s="4">
        <v>8409.2074145028</v>
      </c>
      <c r="AB114" s="4">
        <v>7802.82433276138</v>
      </c>
      <c r="AC114" s="4">
        <v>8230.0431145115108</v>
      </c>
      <c r="AD114" s="7"/>
    </row>
    <row r="115" spans="1:30" x14ac:dyDescent="0.3">
      <c r="A115" s="2" t="s">
        <v>67</v>
      </c>
      <c r="B115" s="3" t="s">
        <v>68</v>
      </c>
      <c r="C115" s="2" t="s">
        <v>56</v>
      </c>
      <c r="D115" s="2" t="s">
        <v>10</v>
      </c>
      <c r="E115" s="5">
        <v>5.4729999999999999</v>
      </c>
      <c r="F115" s="5">
        <v>-2.0030000000000001</v>
      </c>
      <c r="G115" s="5">
        <v>2.1999999999999999E-2</v>
      </c>
      <c r="H115" s="5">
        <v>1.5309999999999999</v>
      </c>
      <c r="I115" s="5">
        <v>4.0410000000000004</v>
      </c>
      <c r="J115" s="5">
        <v>3.4039999999999999</v>
      </c>
      <c r="K115" s="5">
        <v>2.593</v>
      </c>
      <c r="L115" s="5">
        <v>5.2569999999999997</v>
      </c>
      <c r="M115" s="5">
        <v>4.4539999999999997</v>
      </c>
      <c r="N115" s="5">
        <v>5.2480000000000002</v>
      </c>
      <c r="O115" s="5">
        <v>3.645</v>
      </c>
      <c r="P115" s="5">
        <v>6.17</v>
      </c>
      <c r="Q115" s="5">
        <v>3.9449999999999998</v>
      </c>
      <c r="R115" s="5">
        <v>1.8420000000000001</v>
      </c>
      <c r="S115" s="5">
        <v>6.9390000000000001</v>
      </c>
      <c r="T115" s="5">
        <v>0.28999999999999998</v>
      </c>
      <c r="U115" s="5">
        <v>8.8680000000000003</v>
      </c>
      <c r="V115" s="5">
        <v>8.8019999999999996</v>
      </c>
      <c r="W115" s="5">
        <v>8.1760000000000002</v>
      </c>
      <c r="X115" s="5">
        <v>9.2040000000000006</v>
      </c>
      <c r="Y115" s="5">
        <v>11.188000000000001</v>
      </c>
      <c r="Z115" s="5">
        <v>7.8639999999999999</v>
      </c>
      <c r="AA115" s="5">
        <v>5.4039999999999999</v>
      </c>
      <c r="AB115" s="5">
        <v>5.9349999999999996</v>
      </c>
      <c r="AC115" s="5">
        <v>5.4779999999999998</v>
      </c>
      <c r="AD115" s="7"/>
    </row>
    <row r="116" spans="1:30" x14ac:dyDescent="0.3">
      <c r="A116" s="2" t="s">
        <v>67</v>
      </c>
      <c r="B116" s="3" t="s">
        <v>68</v>
      </c>
      <c r="C116" s="2" t="s">
        <v>56</v>
      </c>
      <c r="D116" s="2" t="s">
        <v>11</v>
      </c>
      <c r="E116" s="5">
        <v>-1.8829663976089701</v>
      </c>
      <c r="F116" s="5">
        <v>2.1352334219742399</v>
      </c>
      <c r="G116" s="5">
        <v>-0.24903316854343399</v>
      </c>
      <c r="H116" s="5">
        <v>2.2473300115044998</v>
      </c>
      <c r="I116" s="5">
        <v>0.68954305846484898</v>
      </c>
      <c r="J116" s="5">
        <v>2.6762033331092598</v>
      </c>
      <c r="K116" s="5">
        <v>-2.8065783556905202</v>
      </c>
      <c r="L116" s="5">
        <v>6.0081080248766803</v>
      </c>
      <c r="M116" s="5">
        <v>-3.3084306487875099</v>
      </c>
      <c r="N116" s="5">
        <v>0.13033111981661699</v>
      </c>
      <c r="O116" s="5">
        <v>7.0898873145512598</v>
      </c>
      <c r="P116" s="5">
        <v>7.0917533425865402</v>
      </c>
      <c r="Q116" s="5">
        <v>5.2510769175040704</v>
      </c>
      <c r="R116" s="5">
        <v>5.63869900338696</v>
      </c>
      <c r="S116" s="5">
        <v>4.3149644410746903</v>
      </c>
      <c r="T116" s="5">
        <v>3.8788993950788999</v>
      </c>
      <c r="U116" s="5">
        <v>2.0914422082956201</v>
      </c>
      <c r="V116" s="5">
        <v>0.47264203091114598</v>
      </c>
      <c r="W116" s="5">
        <v>0.83791658082156995</v>
      </c>
      <c r="X116" s="5">
        <v>3.9208087945283099</v>
      </c>
      <c r="Y116" s="5">
        <v>-1.83776106357657</v>
      </c>
      <c r="Z116" s="5">
        <v>1.4679573148748899</v>
      </c>
      <c r="AA116" s="5">
        <v>3.03761449530657</v>
      </c>
      <c r="AB116" s="5">
        <v>2.4389366506432699</v>
      </c>
      <c r="AC116" s="5">
        <v>3.39403899592401</v>
      </c>
      <c r="AD116" s="7"/>
    </row>
    <row r="117" spans="1:30" x14ac:dyDescent="0.3">
      <c r="A117" s="2" t="s">
        <v>69</v>
      </c>
      <c r="B117" s="3" t="s">
        <v>70</v>
      </c>
      <c r="C117" s="2" t="s">
        <v>56</v>
      </c>
      <c r="D117" s="2" t="s">
        <v>8</v>
      </c>
      <c r="E117" s="4">
        <v>3800000</v>
      </c>
      <c r="F117" s="4">
        <v>3000000</v>
      </c>
      <c r="G117" s="4">
        <v>3600000</v>
      </c>
      <c r="H117" s="4">
        <v>3400000</v>
      </c>
      <c r="I117" s="4">
        <v>3501000</v>
      </c>
      <c r="J117" s="4">
        <v>15664000</v>
      </c>
      <c r="K117" s="4">
        <v>38015839.457350001</v>
      </c>
      <c r="L117" s="4">
        <v>36028527.823919997</v>
      </c>
      <c r="M117" s="4">
        <v>79143388.755408794</v>
      </c>
      <c r="N117" s="4">
        <v>15500000</v>
      </c>
      <c r="O117" s="4">
        <v>50600000</v>
      </c>
      <c r="P117" s="4">
        <v>32152348.546953298</v>
      </c>
      <c r="Q117" s="4">
        <v>22471527.027027</v>
      </c>
      <c r="R117" s="4">
        <v>12162344.822250901</v>
      </c>
      <c r="S117" s="4">
        <v>26489982.128366701</v>
      </c>
      <c r="T117" s="4">
        <v>27924059.1401315</v>
      </c>
      <c r="U117" s="4">
        <v>23331087.120574702</v>
      </c>
      <c r="V117" s="4">
        <v>34208489.033314399</v>
      </c>
      <c r="W117" s="4">
        <v>23698321.486444902</v>
      </c>
      <c r="X117" s="4">
        <v>24191799.5128287</v>
      </c>
      <c r="Y117" s="4">
        <v>47112184.772581302</v>
      </c>
      <c r="Z117" s="4">
        <v>59000132.740293197</v>
      </c>
      <c r="AA117" s="4">
        <v>55605987.512497701</v>
      </c>
      <c r="AB117" s="4">
        <v>-25799601.096551102</v>
      </c>
      <c r="AC117" s="4">
        <v>-16681873.078984899</v>
      </c>
      <c r="AD117" s="7"/>
    </row>
    <row r="118" spans="1:30" x14ac:dyDescent="0.3">
      <c r="A118" s="2" t="s">
        <v>69</v>
      </c>
      <c r="B118" s="3" t="s">
        <v>70</v>
      </c>
      <c r="C118" s="2" t="s">
        <v>56</v>
      </c>
      <c r="D118" s="2" t="s">
        <v>9</v>
      </c>
      <c r="E118" s="4">
        <v>529.08938341226201</v>
      </c>
      <c r="F118" s="4">
        <v>518.88050130005001</v>
      </c>
      <c r="G118" s="4">
        <v>568.10257252271003</v>
      </c>
      <c r="H118" s="4">
        <v>663.69621181049399</v>
      </c>
      <c r="I118" s="4">
        <v>726.56088213044404</v>
      </c>
      <c r="J118" s="4">
        <v>844.16918188427405</v>
      </c>
      <c r="K118" s="4">
        <v>861.97070769766401</v>
      </c>
      <c r="L118" s="4">
        <v>878.88579191874499</v>
      </c>
      <c r="M118" s="4">
        <v>1081.8684584729001</v>
      </c>
      <c r="N118" s="4">
        <v>1128.2804621330499</v>
      </c>
      <c r="O118" s="4">
        <v>1045.2095823452801</v>
      </c>
      <c r="P118" s="4">
        <v>1219.8018908967099</v>
      </c>
      <c r="Q118" s="4">
        <v>1192.0202911189001</v>
      </c>
      <c r="R118" s="4">
        <v>1382.5757842916</v>
      </c>
      <c r="S118" s="4">
        <v>1489.67633417608</v>
      </c>
      <c r="T118" s="4">
        <v>1298.10946596396</v>
      </c>
      <c r="U118" s="4">
        <v>1434.8701805052101</v>
      </c>
      <c r="V118" s="4">
        <v>1555.7947781288899</v>
      </c>
      <c r="W118" s="4">
        <v>1825.5997175396601</v>
      </c>
      <c r="X118" s="4">
        <v>1935.2931816595999</v>
      </c>
      <c r="Y118" s="4">
        <v>2167.22001796925</v>
      </c>
      <c r="Z118" s="4">
        <v>2362.5882724810199</v>
      </c>
      <c r="AA118" s="4">
        <v>2389.73729784737</v>
      </c>
      <c r="AB118" s="4">
        <v>2990.6606143535</v>
      </c>
      <c r="AC118" s="4">
        <v>3490.5688348655699</v>
      </c>
      <c r="AD118" s="7"/>
    </row>
    <row r="119" spans="1:30" x14ac:dyDescent="0.3">
      <c r="A119" s="2" t="s">
        <v>69</v>
      </c>
      <c r="B119" s="3" t="s">
        <v>70</v>
      </c>
      <c r="C119" s="2" t="s">
        <v>56</v>
      </c>
      <c r="D119" s="2" t="s">
        <v>10</v>
      </c>
      <c r="E119" s="5">
        <v>4.9870000000000001</v>
      </c>
      <c r="F119" s="5">
        <v>3.95</v>
      </c>
      <c r="G119" s="5">
        <v>4.2270000000000003</v>
      </c>
      <c r="H119" s="5">
        <v>3.331</v>
      </c>
      <c r="I119" s="5">
        <v>3.0550000000000002</v>
      </c>
      <c r="J119" s="5">
        <v>11.48</v>
      </c>
      <c r="K119" s="5">
        <v>26.626000000000001</v>
      </c>
      <c r="L119" s="5">
        <v>24.155999999999999</v>
      </c>
      <c r="M119" s="5">
        <v>42.093000000000004</v>
      </c>
      <c r="N119" s="5">
        <v>7.7240000000000002</v>
      </c>
      <c r="O119" s="5">
        <v>26.629000000000001</v>
      </c>
      <c r="P119" s="5">
        <v>14.198</v>
      </c>
      <c r="Q119" s="5">
        <v>9.9510000000000005</v>
      </c>
      <c r="R119" s="5">
        <v>4.5540000000000003</v>
      </c>
      <c r="S119" s="5">
        <v>9.0370000000000008</v>
      </c>
      <c r="T119" s="5">
        <v>10.74</v>
      </c>
      <c r="U119" s="5">
        <v>7.9829999999999997</v>
      </c>
      <c r="V119" s="5">
        <v>10.624000000000001</v>
      </c>
      <c r="W119" s="5">
        <v>6.1760000000000002</v>
      </c>
      <c r="X119" s="5">
        <v>5.8579999999999997</v>
      </c>
      <c r="Y119" s="5">
        <v>9.9979999999999993</v>
      </c>
      <c r="Z119" s="5">
        <v>11.250999999999999</v>
      </c>
      <c r="AA119" s="5">
        <v>10.282</v>
      </c>
      <c r="AB119" s="5">
        <v>-3.7370000000000001</v>
      </c>
      <c r="AC119" s="5">
        <v>-2.0289999999999999</v>
      </c>
      <c r="AD119" s="7"/>
    </row>
    <row r="120" spans="1:30" x14ac:dyDescent="0.3">
      <c r="A120" s="2" t="s">
        <v>69</v>
      </c>
      <c r="B120" s="3" t="s">
        <v>70</v>
      </c>
      <c r="C120" s="2" t="s">
        <v>56</v>
      </c>
      <c r="D120" s="2" t="s">
        <v>11</v>
      </c>
      <c r="E120" s="5">
        <v>0.44836826169294902</v>
      </c>
      <c r="F120" s="5">
        <v>3.0644829578871899</v>
      </c>
      <c r="G120" s="5">
        <v>3.3601881682219998</v>
      </c>
      <c r="H120" s="5">
        <v>8.2915194611981793</v>
      </c>
      <c r="I120" s="5">
        <v>3.5379059435684002</v>
      </c>
      <c r="J120" s="5">
        <v>6.6146247503359898</v>
      </c>
      <c r="K120" s="5">
        <v>8.8661093594402605</v>
      </c>
      <c r="L120" s="5">
        <v>3.6414718516602398</v>
      </c>
      <c r="M120" s="5">
        <v>6.2287850696101996</v>
      </c>
      <c r="N120" s="5">
        <v>3.3023996664506101</v>
      </c>
      <c r="O120" s="5">
        <v>1.4484552289063499</v>
      </c>
      <c r="P120" s="5">
        <v>1.9994321033325999</v>
      </c>
      <c r="Q120" s="5">
        <v>2.9429427741602301</v>
      </c>
      <c r="R120" s="5">
        <v>5.1196773542851304</v>
      </c>
      <c r="S120" s="5">
        <v>4.9062104866486802</v>
      </c>
      <c r="T120" s="5">
        <v>1.5397042826734999</v>
      </c>
      <c r="U120" s="5">
        <v>5.1768246868411296</v>
      </c>
      <c r="V120" s="5">
        <v>4.1129796628195399</v>
      </c>
      <c r="W120" s="5">
        <v>4.3781280826497202</v>
      </c>
      <c r="X120" s="5">
        <v>2.0143167212940698</v>
      </c>
      <c r="Y120" s="5">
        <v>2.6248594954381201</v>
      </c>
      <c r="Z120" s="5">
        <v>1.89929891337832</v>
      </c>
      <c r="AA120" s="5">
        <v>0.16869849221656399</v>
      </c>
      <c r="AB120" s="5">
        <v>0.37225277500145598</v>
      </c>
      <c r="AC120" s="5">
        <v>1.09999940100751</v>
      </c>
      <c r="AD120" s="7"/>
    </row>
    <row r="121" spans="1:30" x14ac:dyDescent="0.3">
      <c r="A121" s="2" t="s">
        <v>71</v>
      </c>
      <c r="B121" s="3" t="s">
        <v>72</v>
      </c>
      <c r="C121" s="2" t="s">
        <v>73</v>
      </c>
      <c r="D121" s="2" t="s">
        <v>8</v>
      </c>
      <c r="E121" s="4">
        <v>11683250</v>
      </c>
      <c r="F121" s="4">
        <v>-11440.912703828901</v>
      </c>
      <c r="G121" s="10" t="s">
        <v>14</v>
      </c>
      <c r="H121" s="10" t="s">
        <v>14</v>
      </c>
      <c r="I121" s="4">
        <v>44690.707602870301</v>
      </c>
      <c r="J121" s="4">
        <v>584701.69257456099</v>
      </c>
      <c r="K121" s="4">
        <v>31593.778188849799</v>
      </c>
      <c r="L121" s="4">
        <v>500245.09305907</v>
      </c>
      <c r="M121" s="4">
        <v>3833208.3475948302</v>
      </c>
      <c r="N121" s="4">
        <v>348404.53456982801</v>
      </c>
      <c r="O121" s="4">
        <v>780582.00363193802</v>
      </c>
      <c r="P121" s="4">
        <v>3354999.1805921998</v>
      </c>
      <c r="Q121" s="4">
        <v>604919.65152648801</v>
      </c>
      <c r="R121" s="4">
        <v>116727136.517749</v>
      </c>
      <c r="S121" s="4">
        <v>91720479.338880599</v>
      </c>
      <c r="T121" s="4">
        <v>7439564.5877117496</v>
      </c>
      <c r="U121" s="4">
        <v>55103.719821365397</v>
      </c>
      <c r="V121" s="4">
        <v>65319814.837638497</v>
      </c>
      <c r="W121" s="4">
        <v>6663761.8543928396</v>
      </c>
      <c r="X121" s="4">
        <v>30280866.071535401</v>
      </c>
      <c r="Y121" s="4">
        <v>21196554.6098288</v>
      </c>
      <c r="Z121" s="4">
        <v>22351623.301476002</v>
      </c>
      <c r="AA121" s="4">
        <v>25249488.989943199</v>
      </c>
      <c r="AB121" s="4">
        <v>33999317.765554003</v>
      </c>
      <c r="AC121" s="4">
        <v>33322927.991977699</v>
      </c>
      <c r="AD121" s="7"/>
    </row>
    <row r="122" spans="1:30" x14ac:dyDescent="0.3">
      <c r="A122" s="2" t="s">
        <v>71</v>
      </c>
      <c r="B122" s="3" t="s">
        <v>72</v>
      </c>
      <c r="C122" s="2" t="s">
        <v>73</v>
      </c>
      <c r="D122" s="2" t="s">
        <v>9</v>
      </c>
      <c r="E122" s="4">
        <v>134.53786175238901</v>
      </c>
      <c r="F122" s="4">
        <v>132.15955454193201</v>
      </c>
      <c r="G122" s="4">
        <v>120.952308575468</v>
      </c>
      <c r="H122" s="4">
        <v>111.406682804391</v>
      </c>
      <c r="I122" s="4">
        <v>125.194965184533</v>
      </c>
      <c r="J122" s="4">
        <v>147.23461929422501</v>
      </c>
      <c r="K122" s="4">
        <v>161.892755640319</v>
      </c>
      <c r="L122" s="4">
        <v>166.16274490675499</v>
      </c>
      <c r="M122" s="4">
        <v>189.502074570768</v>
      </c>
      <c r="N122" s="4">
        <v>198.43152404822499</v>
      </c>
      <c r="O122" s="4">
        <v>216.72770530197599</v>
      </c>
      <c r="P122" s="4">
        <v>230.069761381132</v>
      </c>
      <c r="Q122" s="4">
        <v>231.09878781150701</v>
      </c>
      <c r="R122" s="4">
        <v>234.844770150871</v>
      </c>
      <c r="S122" s="4">
        <v>250.54449215518599</v>
      </c>
      <c r="T122" s="4">
        <v>254.40258522678801</v>
      </c>
      <c r="U122" s="4">
        <v>232.937812100153</v>
      </c>
      <c r="V122" s="4">
        <v>246.060725714184</v>
      </c>
      <c r="W122" s="4">
        <v>245.66167833200899</v>
      </c>
      <c r="X122" s="4">
        <v>234.31061590725</v>
      </c>
      <c r="Y122" s="4">
        <v>255.83245393889999</v>
      </c>
      <c r="Z122" s="4">
        <v>264.98037926965497</v>
      </c>
      <c r="AA122" s="4">
        <v>302.992505263552</v>
      </c>
      <c r="AB122" s="4">
        <v>250.62725309725499</v>
      </c>
      <c r="AC122" s="4">
        <v>219.42483088269799</v>
      </c>
      <c r="AD122" s="7"/>
    </row>
    <row r="123" spans="1:30" x14ac:dyDescent="0.3">
      <c r="A123" s="2" t="s">
        <v>71</v>
      </c>
      <c r="B123" s="3" t="s">
        <v>72</v>
      </c>
      <c r="C123" s="2" t="s">
        <v>73</v>
      </c>
      <c r="D123" s="2" t="s">
        <v>10</v>
      </c>
      <c r="E123" s="5">
        <v>1.3420000000000001</v>
      </c>
      <c r="F123" s="5">
        <v>-1E-3</v>
      </c>
      <c r="G123" s="10" t="s">
        <v>14</v>
      </c>
      <c r="H123" s="10" t="s">
        <v>14</v>
      </c>
      <c r="I123" s="5">
        <v>5.0000000000000001E-3</v>
      </c>
      <c r="J123" s="5">
        <v>5.1999999999999998E-2</v>
      </c>
      <c r="K123" s="5">
        <v>2E-3</v>
      </c>
      <c r="L123" s="5">
        <v>3.6999999999999998E-2</v>
      </c>
      <c r="M123" s="5">
        <v>0.23799999999999999</v>
      </c>
      <c r="N123" s="5">
        <v>0.02</v>
      </c>
      <c r="O123" s="5">
        <v>3.7999999999999999E-2</v>
      </c>
      <c r="P123" s="5">
        <v>0.15</v>
      </c>
      <c r="Q123" s="5">
        <v>2.5999999999999999E-2</v>
      </c>
      <c r="R123" s="5">
        <v>4.7610000000000001</v>
      </c>
      <c r="S123" s="5">
        <v>3.39</v>
      </c>
      <c r="T123" s="5">
        <v>0.26500000000000001</v>
      </c>
      <c r="U123" s="5">
        <v>2E-3</v>
      </c>
      <c r="V123" s="5">
        <v>2.3069999999999999</v>
      </c>
      <c r="W123" s="5">
        <v>0.22900000000000001</v>
      </c>
      <c r="X123" s="5">
        <v>1.0549999999999999</v>
      </c>
      <c r="Y123" s="5">
        <v>0.65700000000000003</v>
      </c>
      <c r="Z123" s="5">
        <v>0.65100000000000002</v>
      </c>
      <c r="AA123" s="5">
        <v>0.626</v>
      </c>
      <c r="AB123" s="5">
        <v>0.99099999999999999</v>
      </c>
      <c r="AC123" s="5">
        <v>1.081</v>
      </c>
      <c r="AD123" s="7"/>
    </row>
    <row r="124" spans="1:30" x14ac:dyDescent="0.3">
      <c r="A124" s="2" t="s">
        <v>71</v>
      </c>
      <c r="B124" s="3" t="s">
        <v>72</v>
      </c>
      <c r="C124" s="2" t="s">
        <v>73</v>
      </c>
      <c r="D124" s="2" t="s">
        <v>11</v>
      </c>
      <c r="E124" s="5">
        <v>-0.85686405842415103</v>
      </c>
      <c r="F124" s="5">
        <v>2.0558071083524299</v>
      </c>
      <c r="G124" s="5">
        <v>4.4465194122479703</v>
      </c>
      <c r="H124" s="5">
        <v>-1.22372796023444</v>
      </c>
      <c r="I124" s="5">
        <v>4.8336577680945298</v>
      </c>
      <c r="J124" s="5">
        <v>0.90000000090191201</v>
      </c>
      <c r="K124" s="5">
        <v>5.4138071449144398</v>
      </c>
      <c r="L124" s="5">
        <v>3.44449364663615</v>
      </c>
      <c r="M124" s="5">
        <v>4.9087419081354504</v>
      </c>
      <c r="N124" s="5">
        <v>3.7870758305051</v>
      </c>
      <c r="O124" s="5">
        <v>5.0937369732305502</v>
      </c>
      <c r="P124" s="5">
        <v>4.0244279386422797</v>
      </c>
      <c r="Q124" s="5">
        <v>4.4230311849012596</v>
      </c>
      <c r="R124" s="5">
        <v>4.9239248511745597</v>
      </c>
      <c r="S124" s="5">
        <v>4.2449080308724803</v>
      </c>
      <c r="T124" s="5">
        <v>-0.40452559520419101</v>
      </c>
      <c r="U124" s="5">
        <v>3.2001747060428598</v>
      </c>
      <c r="V124" s="5">
        <v>3.8318575692580601</v>
      </c>
      <c r="W124" s="5">
        <v>5.3422447312501999</v>
      </c>
      <c r="X124" s="5">
        <v>4.4593420235878396</v>
      </c>
      <c r="Y124" s="5">
        <v>0.306443809481593</v>
      </c>
      <c r="Z124" s="5">
        <v>3.2370747982357799</v>
      </c>
      <c r="AA124" s="5">
        <v>2.31770122223331</v>
      </c>
      <c r="AB124" s="5">
        <v>3.2547689742610002</v>
      </c>
      <c r="AC124" s="5">
        <v>4.1122737626494397</v>
      </c>
      <c r="AD124" s="7"/>
    </row>
    <row r="125" spans="1:30" x14ac:dyDescent="0.3">
      <c r="A125" s="2" t="s">
        <v>74</v>
      </c>
      <c r="B125" s="3" t="s">
        <v>75</v>
      </c>
      <c r="C125" s="2" t="s">
        <v>73</v>
      </c>
      <c r="D125" s="2" t="s">
        <v>8</v>
      </c>
      <c r="E125" s="4">
        <v>110904550.39976101</v>
      </c>
      <c r="F125" s="4">
        <v>5302622.9394056499</v>
      </c>
      <c r="G125" s="4">
        <v>27618447.058205999</v>
      </c>
      <c r="H125" s="4">
        <v>81738242.636621103</v>
      </c>
      <c r="I125" s="4">
        <v>46063931.454386197</v>
      </c>
      <c r="J125" s="4">
        <v>21211685.395222899</v>
      </c>
      <c r="K125" s="4">
        <v>50674725.1830694</v>
      </c>
      <c r="L125" s="4">
        <v>729044146.04371905</v>
      </c>
      <c r="M125" s="4">
        <v>95585680.233443901</v>
      </c>
      <c r="N125" s="4">
        <v>116257608.986359</v>
      </c>
      <c r="O125" s="4">
        <v>178064606.75210801</v>
      </c>
      <c r="P125" s="4">
        <v>1450474757.0818</v>
      </c>
      <c r="Q125" s="4">
        <v>1380173661.9426501</v>
      </c>
      <c r="R125" s="4">
        <v>1118825000.1933</v>
      </c>
      <c r="S125" s="4">
        <v>820937598.36053896</v>
      </c>
      <c r="T125" s="4">
        <v>619724465.01641095</v>
      </c>
      <c r="U125" s="4">
        <v>469533310.68393201</v>
      </c>
      <c r="V125" s="4">
        <v>1346085345.2169099</v>
      </c>
      <c r="W125" s="4">
        <v>767761506.73064399</v>
      </c>
      <c r="X125" s="4">
        <v>469940266.77666903</v>
      </c>
      <c r="Y125" s="4">
        <v>-5403752.2898689602</v>
      </c>
      <c r="Z125" s="4">
        <v>419719612.93213701</v>
      </c>
      <c r="AA125" s="4">
        <v>791581760.055161</v>
      </c>
      <c r="AB125" s="4">
        <v>507964511.417799</v>
      </c>
      <c r="AC125" s="4">
        <v>463439704.19641697</v>
      </c>
      <c r="AD125" s="7"/>
    </row>
    <row r="126" spans="1:30" x14ac:dyDescent="0.3">
      <c r="A126" s="2" t="s">
        <v>74</v>
      </c>
      <c r="B126" s="3" t="s">
        <v>75</v>
      </c>
      <c r="C126" s="2" t="s">
        <v>73</v>
      </c>
      <c r="D126" s="2" t="s">
        <v>9</v>
      </c>
      <c r="E126" s="4">
        <v>414.62636513084601</v>
      </c>
      <c r="F126" s="4">
        <v>410.70045247481403</v>
      </c>
      <c r="G126" s="4">
        <v>402.93638560538199</v>
      </c>
      <c r="H126" s="4">
        <v>442.89845725340501</v>
      </c>
      <c r="I126" s="4">
        <v>463.66278130012103</v>
      </c>
      <c r="J126" s="4">
        <v>523.45631243386299</v>
      </c>
      <c r="K126" s="4">
        <v>699.80237063381003</v>
      </c>
      <c r="L126" s="4">
        <v>840.20143947676502</v>
      </c>
      <c r="M126" s="4">
        <v>915.54435473603996</v>
      </c>
      <c r="N126" s="4">
        <v>1047.9678324485001</v>
      </c>
      <c r="O126" s="4">
        <v>1091.51873101194</v>
      </c>
      <c r="P126" s="4">
        <v>1096.14499807676</v>
      </c>
      <c r="Q126" s="4">
        <v>1285.00536171512</v>
      </c>
      <c r="R126" s="4">
        <v>1370.8788521465899</v>
      </c>
      <c r="S126" s="4">
        <v>1482.81566253497</v>
      </c>
      <c r="T126" s="4">
        <v>1489.1195977728401</v>
      </c>
      <c r="U126" s="4">
        <v>1554.12610314423</v>
      </c>
      <c r="V126" s="4">
        <v>1667.48447230835</v>
      </c>
      <c r="W126" s="4">
        <v>1836.4527552899301</v>
      </c>
      <c r="X126" s="4">
        <v>1960.40808854893</v>
      </c>
      <c r="Y126" s="4">
        <v>1927.6645902784901</v>
      </c>
      <c r="Z126" s="4">
        <v>2061.3562208959402</v>
      </c>
      <c r="AA126" s="4">
        <v>2109.56288513138</v>
      </c>
      <c r="AB126" s="4">
        <v>1942.5880275619099</v>
      </c>
      <c r="AC126" s="4">
        <v>2132.4345209764701</v>
      </c>
      <c r="AD126" s="7"/>
    </row>
    <row r="127" spans="1:30" x14ac:dyDescent="0.3">
      <c r="A127" s="2" t="s">
        <v>74</v>
      </c>
      <c r="B127" s="3" t="s">
        <v>75</v>
      </c>
      <c r="C127" s="2" t="s">
        <v>73</v>
      </c>
      <c r="D127" s="2" t="s">
        <v>10</v>
      </c>
      <c r="E127" s="5">
        <v>0.873</v>
      </c>
      <c r="F127" s="5">
        <v>4.1000000000000002E-2</v>
      </c>
      <c r="G127" s="5">
        <v>0.21</v>
      </c>
      <c r="H127" s="5">
        <v>0.54800000000000004</v>
      </c>
      <c r="I127" s="5">
        <v>0.28599999999999998</v>
      </c>
      <c r="J127" s="5">
        <v>0.113</v>
      </c>
      <c r="K127" s="5">
        <v>0.19600000000000001</v>
      </c>
      <c r="L127" s="5">
        <v>2.2810000000000001</v>
      </c>
      <c r="M127" s="5">
        <v>0.26600000000000001</v>
      </c>
      <c r="N127" s="5">
        <v>0.27500000000000002</v>
      </c>
      <c r="O127" s="5">
        <v>0.39200000000000002</v>
      </c>
      <c r="P127" s="5">
        <v>3.0950000000000002</v>
      </c>
      <c r="Q127" s="5">
        <v>2.4470000000000001</v>
      </c>
      <c r="R127" s="5">
        <v>1.8140000000000001</v>
      </c>
      <c r="S127" s="5">
        <v>1.202</v>
      </c>
      <c r="T127" s="5">
        <v>0.88400000000000001</v>
      </c>
      <c r="U127" s="5">
        <v>0.628</v>
      </c>
      <c r="V127" s="5">
        <v>1.641</v>
      </c>
      <c r="W127" s="5">
        <v>0.83299999999999996</v>
      </c>
      <c r="X127" s="5">
        <v>0.46800000000000003</v>
      </c>
      <c r="Y127" s="5">
        <v>-5.0000000000000001E-3</v>
      </c>
      <c r="Z127" s="5">
        <v>0.38300000000000001</v>
      </c>
      <c r="AA127" s="5">
        <v>0.69199999999999995</v>
      </c>
      <c r="AB127" s="5">
        <v>0.47299999999999998</v>
      </c>
      <c r="AC127" s="5">
        <v>0.38500000000000001</v>
      </c>
      <c r="AD127" s="7"/>
    </row>
    <row r="128" spans="1:30" x14ac:dyDescent="0.3">
      <c r="A128" s="2" t="s">
        <v>74</v>
      </c>
      <c r="B128" s="3" t="s">
        <v>75</v>
      </c>
      <c r="C128" s="2" t="s">
        <v>73</v>
      </c>
      <c r="D128" s="2" t="s">
        <v>11</v>
      </c>
      <c r="E128" s="5">
        <v>0.59969539080742595</v>
      </c>
      <c r="F128" s="5">
        <v>3.77990649795343</v>
      </c>
      <c r="G128" s="5">
        <v>0.54685953017559497</v>
      </c>
      <c r="H128" s="5">
        <v>2.9324755457090399</v>
      </c>
      <c r="I128" s="5">
        <v>5.1042997762973803</v>
      </c>
      <c r="J128" s="5">
        <v>5.9066660798005701</v>
      </c>
      <c r="K128" s="5">
        <v>6.4724943001548398</v>
      </c>
      <c r="L128" s="5">
        <v>6.85072976998784</v>
      </c>
      <c r="M128" s="5">
        <v>0.232282744812977</v>
      </c>
      <c r="N128" s="5">
        <v>3.3069398163108898</v>
      </c>
      <c r="O128" s="5">
        <v>8.0584736029090607</v>
      </c>
      <c r="P128" s="5">
        <v>5.1211061197056003</v>
      </c>
      <c r="Q128" s="5">
        <v>4.5686796144498203</v>
      </c>
      <c r="R128" s="5">
        <v>3.7978483925753999</v>
      </c>
      <c r="S128" s="5">
        <v>5.0201110023248399</v>
      </c>
      <c r="T128" s="5">
        <v>4.9677211275976703</v>
      </c>
      <c r="U128" s="5">
        <v>4.2135170681474401</v>
      </c>
      <c r="V128" s="5">
        <v>3.8379581736472099</v>
      </c>
      <c r="W128" s="5">
        <v>5.6479464070921903</v>
      </c>
      <c r="X128" s="5">
        <v>5.1141588576780102</v>
      </c>
      <c r="Y128" s="5">
        <v>-0.27276632743881601</v>
      </c>
      <c r="Z128" s="5">
        <v>7.5904894733346699</v>
      </c>
      <c r="AA128" s="5">
        <v>4.8599810428799897</v>
      </c>
      <c r="AB128" s="5">
        <v>5.71999241214208</v>
      </c>
      <c r="AC128" s="5">
        <v>4.72473994710138</v>
      </c>
      <c r="AD128" s="7"/>
    </row>
    <row r="129" spans="1:30" x14ac:dyDescent="0.3">
      <c r="A129" s="2" t="s">
        <v>76</v>
      </c>
      <c r="B129" s="3" t="s">
        <v>77</v>
      </c>
      <c r="C129" s="2" t="s">
        <v>73</v>
      </c>
      <c r="D129" s="2" t="s">
        <v>8</v>
      </c>
      <c r="E129" s="4">
        <v>8100000</v>
      </c>
      <c r="F129" s="4">
        <v>18500000</v>
      </c>
      <c r="G129" s="4">
        <v>1500000</v>
      </c>
      <c r="H129" s="4">
        <v>4700000</v>
      </c>
      <c r="I129" s="4">
        <v>7700000</v>
      </c>
      <c r="J129" s="4">
        <v>7960000</v>
      </c>
      <c r="K129" s="4">
        <v>30643970</v>
      </c>
      <c r="L129" s="4">
        <v>82283170</v>
      </c>
      <c r="M129" s="4">
        <v>102290000</v>
      </c>
      <c r="N129" s="4">
        <v>118670000</v>
      </c>
      <c r="O129" s="4">
        <v>216192556.81733999</v>
      </c>
      <c r="P129" s="4">
        <v>112127535.812557</v>
      </c>
      <c r="Q129" s="4">
        <v>269615550.35029</v>
      </c>
      <c r="R129" s="4">
        <v>233763793.60783401</v>
      </c>
      <c r="S129" s="4">
        <v>313997162.787606</v>
      </c>
      <c r="T129" s="4">
        <v>162083820.997161</v>
      </c>
      <c r="U129" s="4">
        <v>279747327.59838098</v>
      </c>
      <c r="V129" s="4">
        <v>274025990.659944</v>
      </c>
      <c r="W129" s="4">
        <v>366192315.50624001</v>
      </c>
      <c r="X129" s="4">
        <v>263172335.22999999</v>
      </c>
      <c r="Y129" s="4">
        <v>152614120.94999999</v>
      </c>
      <c r="Z129" s="4">
        <v>233384938.77000001</v>
      </c>
      <c r="AA129" s="4">
        <v>305101863.38</v>
      </c>
      <c r="AB129" s="4">
        <v>457644003.00682801</v>
      </c>
      <c r="AC129" s="4">
        <v>572929300.01410198</v>
      </c>
      <c r="AD129" s="7"/>
    </row>
    <row r="130" spans="1:30" x14ac:dyDescent="0.3">
      <c r="A130" s="2" t="s">
        <v>76</v>
      </c>
      <c r="B130" s="3" t="s">
        <v>77</v>
      </c>
      <c r="C130" s="2" t="s">
        <v>73</v>
      </c>
      <c r="D130" s="2" t="s">
        <v>9</v>
      </c>
      <c r="E130" s="4">
        <v>251.86926386091</v>
      </c>
      <c r="F130" s="4">
        <v>237.308846200901</v>
      </c>
      <c r="G130" s="4">
        <v>234.04301675573299</v>
      </c>
      <c r="H130" s="4">
        <v>249.01227498225199</v>
      </c>
      <c r="I130" s="4">
        <v>269.54044633340197</v>
      </c>
      <c r="J130" s="4">
        <v>324.01686384718897</v>
      </c>
      <c r="K130" s="4">
        <v>356.99502290115402</v>
      </c>
      <c r="L130" s="4">
        <v>426.23418348762902</v>
      </c>
      <c r="M130" s="4">
        <v>528.32639175550196</v>
      </c>
      <c r="N130" s="4">
        <v>564.039095842449</v>
      </c>
      <c r="O130" s="4">
        <v>593.624927744346</v>
      </c>
      <c r="P130" s="4">
        <v>651.13367796466196</v>
      </c>
      <c r="Q130" s="4">
        <v>706.81726916856098</v>
      </c>
      <c r="R130" s="4">
        <v>704.92421851123004</v>
      </c>
      <c r="S130" s="4">
        <v>724.95752652090596</v>
      </c>
      <c r="T130" s="4">
        <v>733.99862988249401</v>
      </c>
      <c r="U130" s="4">
        <v>729.51913381294503</v>
      </c>
      <c r="V130" s="4">
        <v>758.30096650964697</v>
      </c>
      <c r="W130" s="4">
        <v>771.77351120730896</v>
      </c>
      <c r="X130" s="4">
        <v>810.05141213735396</v>
      </c>
      <c r="Y130" s="4">
        <v>778.70149892502604</v>
      </c>
      <c r="Z130" s="4">
        <v>829.54484526369697</v>
      </c>
      <c r="AA130" s="4">
        <v>975.46932373536902</v>
      </c>
      <c r="AB130" s="4">
        <v>1027.03446826565</v>
      </c>
      <c r="AC130" s="4">
        <v>999.65456165547005</v>
      </c>
      <c r="AD130" s="7"/>
    </row>
    <row r="131" spans="1:30" x14ac:dyDescent="0.3">
      <c r="A131" s="2" t="s">
        <v>76</v>
      </c>
      <c r="B131" s="3" t="s">
        <v>77</v>
      </c>
      <c r="C131" s="2" t="s">
        <v>73</v>
      </c>
      <c r="D131" s="2" t="s">
        <v>10</v>
      </c>
      <c r="E131" s="5">
        <v>0.39200000000000002</v>
      </c>
      <c r="F131" s="5">
        <v>0.94099999999999995</v>
      </c>
      <c r="G131" s="5">
        <v>7.5999999999999998E-2</v>
      </c>
      <c r="H131" s="5">
        <v>0.22</v>
      </c>
      <c r="I131" s="5">
        <v>0.32400000000000001</v>
      </c>
      <c r="J131" s="5">
        <v>0.27100000000000002</v>
      </c>
      <c r="K131" s="5">
        <v>0.92300000000000004</v>
      </c>
      <c r="L131" s="5">
        <v>2.0209999999999999</v>
      </c>
      <c r="M131" s="5">
        <v>1.9750000000000001</v>
      </c>
      <c r="N131" s="5">
        <v>2.0910000000000002</v>
      </c>
      <c r="O131" s="5">
        <v>3.53</v>
      </c>
      <c r="P131" s="5">
        <v>1.629</v>
      </c>
      <c r="Q131" s="5">
        <v>3.5219999999999998</v>
      </c>
      <c r="R131" s="5">
        <v>2.9889999999999999</v>
      </c>
      <c r="S131" s="5">
        <v>3.8109999999999999</v>
      </c>
      <c r="T131" s="5">
        <v>1.897</v>
      </c>
      <c r="U131" s="5">
        <v>3.2170000000000001</v>
      </c>
      <c r="V131" s="5">
        <v>2.9620000000000002</v>
      </c>
      <c r="W131" s="5">
        <v>3.8</v>
      </c>
      <c r="X131" s="5">
        <v>2.5430000000000001</v>
      </c>
      <c r="Y131" s="5">
        <v>1.5</v>
      </c>
      <c r="Z131" s="5">
        <v>2.1070000000000002</v>
      </c>
      <c r="AA131" s="5">
        <v>2.2909999999999999</v>
      </c>
      <c r="AB131" s="5">
        <v>3.1930000000000001</v>
      </c>
      <c r="AC131" s="5">
        <v>4.0199999999999996</v>
      </c>
      <c r="AD131" s="7"/>
    </row>
    <row r="132" spans="1:30" x14ac:dyDescent="0.3">
      <c r="A132" s="2" t="s">
        <v>76</v>
      </c>
      <c r="B132" s="3" t="s">
        <v>77</v>
      </c>
      <c r="C132" s="2" t="s">
        <v>73</v>
      </c>
      <c r="D132" s="2" t="s">
        <v>11</v>
      </c>
      <c r="E132" s="5">
        <v>8.3708959354854802</v>
      </c>
      <c r="F132" s="5">
        <v>8.4845603416010995</v>
      </c>
      <c r="G132" s="5">
        <v>13.1920736254262</v>
      </c>
      <c r="H132" s="5">
        <v>2.2023875113960298</v>
      </c>
      <c r="I132" s="5">
        <v>7.4476673703407199</v>
      </c>
      <c r="J132" s="5">
        <v>9.3778991673686001</v>
      </c>
      <c r="K132" s="5">
        <v>9.2270757679888096</v>
      </c>
      <c r="L132" s="5">
        <v>7.6332981912527602</v>
      </c>
      <c r="M132" s="5">
        <v>11.161247324732299</v>
      </c>
      <c r="N132" s="5">
        <v>6.2482575062050802</v>
      </c>
      <c r="O132" s="5">
        <v>7.3346564500675298</v>
      </c>
      <c r="P132" s="5">
        <v>7.95838869847094</v>
      </c>
      <c r="Q132" s="5">
        <v>8.6415081583632194</v>
      </c>
      <c r="R132" s="5">
        <v>4.7198485697826298</v>
      </c>
      <c r="S132" s="5">
        <v>6.1671661516693197</v>
      </c>
      <c r="T132" s="5">
        <v>8.8568555974537997</v>
      </c>
      <c r="U132" s="5">
        <v>5.9707452543109403</v>
      </c>
      <c r="V132" s="5">
        <v>3.9181709362846502</v>
      </c>
      <c r="W132" s="5">
        <v>8.5164672259240906</v>
      </c>
      <c r="X132" s="5">
        <v>9.4473851861309708</v>
      </c>
      <c r="Y132" s="5">
        <v>-3.37368746369782</v>
      </c>
      <c r="Z132" s="5">
        <v>10.8584320184896</v>
      </c>
      <c r="AA132" s="5">
        <v>8.1612072087291203</v>
      </c>
      <c r="AB132" s="5">
        <v>8.2499030201455792</v>
      </c>
      <c r="AC132" s="5">
        <v>8.8906552957311398</v>
      </c>
      <c r="AD132" s="7"/>
    </row>
    <row r="133" spans="1:30" x14ac:dyDescent="0.3">
      <c r="A133" s="2" t="s">
        <v>78</v>
      </c>
      <c r="B133" s="3" t="s">
        <v>79</v>
      </c>
      <c r="C133" s="2" t="s">
        <v>73</v>
      </c>
      <c r="D133" s="2" t="s">
        <v>8</v>
      </c>
      <c r="E133" s="4">
        <v>463400858.7823</v>
      </c>
      <c r="F133" s="4">
        <v>549270351.46000004</v>
      </c>
      <c r="G133" s="4">
        <v>395567134</v>
      </c>
      <c r="H133" s="4">
        <v>318401298.68000001</v>
      </c>
      <c r="I133" s="4">
        <v>442539548.35000002</v>
      </c>
      <c r="J133" s="4">
        <v>935520591.71000004</v>
      </c>
      <c r="K133" s="4">
        <v>403038991.36000001</v>
      </c>
      <c r="L133" s="4">
        <v>581511806.98000002</v>
      </c>
      <c r="M133" s="4">
        <v>1383260000</v>
      </c>
      <c r="N133" s="4">
        <v>952630000</v>
      </c>
      <c r="O133" s="4">
        <v>1813200000</v>
      </c>
      <c r="P133" s="4">
        <v>1229361018.44368</v>
      </c>
      <c r="Q133" s="4">
        <v>1799646137.43448</v>
      </c>
      <c r="R133" s="4">
        <v>2087261309.71597</v>
      </c>
      <c r="S133" s="4">
        <v>1416088064.8110001</v>
      </c>
      <c r="T133" s="4">
        <v>1506024896.0109999</v>
      </c>
      <c r="U133" s="4">
        <v>864040000</v>
      </c>
      <c r="V133" s="4">
        <v>937700000</v>
      </c>
      <c r="W133" s="4">
        <v>971576866.04275596</v>
      </c>
      <c r="X133" s="4">
        <v>1217235252.4197299</v>
      </c>
      <c r="Y133" s="4">
        <v>943765261.69200003</v>
      </c>
      <c r="Z133" s="4">
        <v>1190507398.7839999</v>
      </c>
      <c r="AA133" s="4">
        <v>1437575169.471</v>
      </c>
      <c r="AB133" s="4">
        <v>1648913856.3048501</v>
      </c>
      <c r="AC133" s="4">
        <v>1717575169.471</v>
      </c>
      <c r="AD133" s="7"/>
    </row>
    <row r="134" spans="1:30" x14ac:dyDescent="0.3">
      <c r="A134" s="2" t="s">
        <v>78</v>
      </c>
      <c r="B134" s="3" t="s">
        <v>79</v>
      </c>
      <c r="C134" s="2" t="s">
        <v>73</v>
      </c>
      <c r="D134" s="2" t="s">
        <v>9</v>
      </c>
      <c r="E134" s="4">
        <v>401.69815063476602</v>
      </c>
      <c r="F134" s="4">
        <v>396.63873291015602</v>
      </c>
      <c r="G134" s="4">
        <v>402.64904785156301</v>
      </c>
      <c r="H134" s="4">
        <v>422.18359375</v>
      </c>
      <c r="I134" s="4">
        <v>450.38528442382801</v>
      </c>
      <c r="J134" s="4">
        <v>483.33486938476602</v>
      </c>
      <c r="K134" s="4">
        <v>475.74673461914102</v>
      </c>
      <c r="L134" s="4">
        <v>543.19830322265602</v>
      </c>
      <c r="M134" s="4">
        <v>675.97723388671898</v>
      </c>
      <c r="N134" s="4">
        <v>693.82354736328102</v>
      </c>
      <c r="O134" s="4">
        <v>736.53015136718795</v>
      </c>
      <c r="P134" s="4">
        <v>775.39276123046898</v>
      </c>
      <c r="Q134" s="4">
        <v>861.96990966796898</v>
      </c>
      <c r="R134" s="4">
        <v>963.05712890625</v>
      </c>
      <c r="S134" s="4">
        <v>1022.74841308594</v>
      </c>
      <c r="T134" s="4">
        <v>939.12731933593795</v>
      </c>
      <c r="U134" s="4">
        <v>953.0107421875</v>
      </c>
      <c r="V134" s="4">
        <v>986.67401123046898</v>
      </c>
      <c r="W134" s="4">
        <v>1023.10626220703</v>
      </c>
      <c r="X134" s="4">
        <v>1063.32250976563</v>
      </c>
      <c r="Y134" s="4">
        <v>1117.41528320313</v>
      </c>
      <c r="Z134" s="4">
        <v>1159.85656738281</v>
      </c>
      <c r="AA134" s="4">
        <v>1207.52062988281</v>
      </c>
      <c r="AB134" s="4">
        <v>1224.00219726563</v>
      </c>
      <c r="AC134" s="4">
        <v>1186.71691894531</v>
      </c>
      <c r="AD134" s="7"/>
    </row>
    <row r="135" spans="1:30" x14ac:dyDescent="0.3">
      <c r="A135" s="2" t="s">
        <v>78</v>
      </c>
      <c r="B135" s="3" t="s">
        <v>79</v>
      </c>
      <c r="C135" s="2" t="s">
        <v>73</v>
      </c>
      <c r="D135" s="2" t="s">
        <v>10</v>
      </c>
      <c r="E135" s="5">
        <v>3.4660000000000002</v>
      </c>
      <c r="F135" s="5">
        <v>4.0490000000000004</v>
      </c>
      <c r="G135" s="5">
        <v>2.8</v>
      </c>
      <c r="H135" s="5">
        <v>2.093</v>
      </c>
      <c r="I135" s="5">
        <v>2.6539999999999999</v>
      </c>
      <c r="J135" s="5">
        <v>5.0860000000000003</v>
      </c>
      <c r="K135" s="5">
        <v>2.165</v>
      </c>
      <c r="L135" s="5">
        <v>2.66</v>
      </c>
      <c r="M135" s="5">
        <v>4.9489999999999998</v>
      </c>
      <c r="N135" s="5">
        <v>3.24</v>
      </c>
      <c r="O135" s="5">
        <v>5.6639999999999997</v>
      </c>
      <c r="P135" s="5">
        <v>3.5470000000000002</v>
      </c>
      <c r="Q135" s="5">
        <v>4.5389999999999997</v>
      </c>
      <c r="R135" s="5">
        <v>4.5720000000000001</v>
      </c>
      <c r="S135" s="5">
        <v>2.8330000000000002</v>
      </c>
      <c r="T135" s="5">
        <v>3.1760000000000002</v>
      </c>
      <c r="U135" s="5">
        <v>1.736</v>
      </c>
      <c r="V135" s="5">
        <v>1.76</v>
      </c>
      <c r="W135" s="5">
        <v>1.704</v>
      </c>
      <c r="X135" s="5">
        <v>1.9950000000000001</v>
      </c>
      <c r="Y135" s="5">
        <v>1.4279999999999999</v>
      </c>
      <c r="Z135" s="5">
        <v>1.6850000000000001</v>
      </c>
      <c r="AA135" s="5">
        <v>1.8979999999999999</v>
      </c>
      <c r="AB135" s="5">
        <v>2.0859999999999999</v>
      </c>
      <c r="AC135" s="5">
        <v>2.1779999999999999</v>
      </c>
      <c r="AD135" s="7"/>
    </row>
    <row r="136" spans="1:30" x14ac:dyDescent="0.3">
      <c r="A136" s="2" t="s">
        <v>78</v>
      </c>
      <c r="B136" s="3" t="s">
        <v>79</v>
      </c>
      <c r="C136" s="2" t="s">
        <v>73</v>
      </c>
      <c r="D136" s="2" t="s">
        <v>11</v>
      </c>
      <c r="E136" s="5">
        <v>4.5207846360325599</v>
      </c>
      <c r="F136" s="5">
        <v>6.0708082873412899</v>
      </c>
      <c r="G136" s="5">
        <v>7.0931949835550201</v>
      </c>
      <c r="H136" s="5">
        <v>6.6727898305349704</v>
      </c>
      <c r="I136" s="5">
        <v>7.5038146585982899</v>
      </c>
      <c r="J136" s="5">
        <v>7.4763192597478403</v>
      </c>
      <c r="K136" s="5">
        <v>6.5322213884781402</v>
      </c>
      <c r="L136" s="5">
        <v>6.7685352029371604</v>
      </c>
      <c r="M136" s="5">
        <v>5.6864168590522404</v>
      </c>
      <c r="N136" s="5">
        <v>5.2691052487346299</v>
      </c>
      <c r="O136" s="5">
        <v>6.3365234266688901</v>
      </c>
      <c r="P136" s="5">
        <v>7.67215543486064</v>
      </c>
      <c r="Q136" s="5">
        <v>4.5001535601013103</v>
      </c>
      <c r="R136" s="5">
        <v>6.7815856006531599</v>
      </c>
      <c r="S136" s="5">
        <v>6.7324618683248296</v>
      </c>
      <c r="T136" s="5">
        <v>6.1606287740668204</v>
      </c>
      <c r="U136" s="5">
        <v>6.8671161964455099</v>
      </c>
      <c r="V136" s="5">
        <v>6.7272699683233803</v>
      </c>
      <c r="W136" s="5">
        <v>5.5026759938506302</v>
      </c>
      <c r="X136" s="5">
        <v>5.7999999999672296</v>
      </c>
      <c r="Y136" s="5">
        <v>1.9919646064785499</v>
      </c>
      <c r="Z136" s="5">
        <v>4.3213842948048198</v>
      </c>
      <c r="AA136" s="5">
        <v>4.5660057643095504</v>
      </c>
      <c r="AB136" s="5">
        <v>5.0695235320339398</v>
      </c>
      <c r="AC136" s="5">
        <v>5.5263138305944999</v>
      </c>
      <c r="AD136" s="7"/>
    </row>
    <row r="137" spans="1:30" x14ac:dyDescent="0.3">
      <c r="A137" s="2" t="s">
        <v>80</v>
      </c>
      <c r="B137" s="3" t="s">
        <v>81</v>
      </c>
      <c r="C137" s="2" t="s">
        <v>73</v>
      </c>
      <c r="D137" s="2" t="s">
        <v>8</v>
      </c>
      <c r="E137" s="4">
        <v>160700000</v>
      </c>
      <c r="F137" s="4">
        <v>151496150.65192699</v>
      </c>
      <c r="G137" s="4">
        <v>184648059.19749999</v>
      </c>
      <c r="H137" s="4">
        <v>202192593.61849999</v>
      </c>
      <c r="I137" s="4">
        <v>295416479.80069101</v>
      </c>
      <c r="J137" s="4">
        <v>379808340.66706097</v>
      </c>
      <c r="K137" s="4">
        <v>644262499.94651198</v>
      </c>
      <c r="L137" s="4">
        <v>792305780.89124405</v>
      </c>
      <c r="M137" s="4">
        <v>728860900.652408</v>
      </c>
      <c r="N137" s="4">
        <v>841570802.74764001</v>
      </c>
      <c r="O137" s="4">
        <v>543872727.27272797</v>
      </c>
      <c r="P137" s="4">
        <v>894293858</v>
      </c>
      <c r="Q137" s="4">
        <v>1205388487.79374</v>
      </c>
      <c r="R137" s="4">
        <v>1096000000</v>
      </c>
      <c r="S137" s="4">
        <v>1058564540.34684</v>
      </c>
      <c r="T137" s="4">
        <v>737652140.15142798</v>
      </c>
      <c r="U137" s="4">
        <v>625704361.86706805</v>
      </c>
      <c r="V137" s="4">
        <v>802704141.00856805</v>
      </c>
      <c r="W137" s="4">
        <v>1055353352.63033</v>
      </c>
      <c r="X137" s="4">
        <v>1303005005.3393199</v>
      </c>
      <c r="Y137" s="4">
        <v>1191485423.7197499</v>
      </c>
      <c r="Z137" s="4">
        <v>1648240262.6506</v>
      </c>
      <c r="AA137" s="4">
        <v>2952941687.83427</v>
      </c>
      <c r="AB137" s="4">
        <v>2993518989</v>
      </c>
      <c r="AC137" s="4">
        <v>3257198201.79845</v>
      </c>
      <c r="AD137" s="7"/>
    </row>
    <row r="138" spans="1:30" x14ac:dyDescent="0.3">
      <c r="A138" s="2" t="s">
        <v>80</v>
      </c>
      <c r="B138" s="3" t="s">
        <v>81</v>
      </c>
      <c r="C138" s="2" t="s">
        <v>73</v>
      </c>
      <c r="D138" s="2" t="s">
        <v>9</v>
      </c>
      <c r="E138" s="4">
        <v>258.05033873108601</v>
      </c>
      <c r="F138" s="4">
        <v>236.02118885399301</v>
      </c>
      <c r="G138" s="4">
        <v>241.98468840833499</v>
      </c>
      <c r="H138" s="4">
        <v>250.71543664680999</v>
      </c>
      <c r="I138" s="4">
        <v>292.38185796262002</v>
      </c>
      <c r="J138" s="4">
        <v>330.40540270702502</v>
      </c>
      <c r="K138" s="4">
        <v>346.51825531064702</v>
      </c>
      <c r="L138" s="4">
        <v>401.38913086558102</v>
      </c>
      <c r="M138" s="4">
        <v>472.84268149585199</v>
      </c>
      <c r="N138" s="4">
        <v>798.94708993824702</v>
      </c>
      <c r="O138" s="4">
        <v>823.48814428200001</v>
      </c>
      <c r="P138" s="4">
        <v>835.62006055583799</v>
      </c>
      <c r="Q138" s="4">
        <v>795.222867553127</v>
      </c>
      <c r="R138" s="4">
        <v>818.28542741671299</v>
      </c>
      <c r="S138" s="4">
        <v>896.05479554639396</v>
      </c>
      <c r="T138" s="4">
        <v>862.93461035581095</v>
      </c>
      <c r="U138" s="4">
        <v>752.69657172565599</v>
      </c>
      <c r="V138" s="4">
        <v>765.21833229736103</v>
      </c>
      <c r="W138" s="4">
        <v>792.16570022814005</v>
      </c>
      <c r="X138" s="4">
        <v>822.17115003635695</v>
      </c>
      <c r="Y138" s="4">
        <v>845.76646389012399</v>
      </c>
      <c r="Z138" s="4">
        <v>882.79171754250399</v>
      </c>
      <c r="AA138" s="4">
        <v>963.06731411717794</v>
      </c>
      <c r="AB138" s="4">
        <v>1002.30913917143</v>
      </c>
      <c r="AC138" s="4">
        <v>1077.9127845281701</v>
      </c>
      <c r="AD138" s="7"/>
    </row>
    <row r="139" spans="1:30" x14ac:dyDescent="0.3">
      <c r="A139" s="2" t="s">
        <v>80</v>
      </c>
      <c r="B139" s="3" t="s">
        <v>81</v>
      </c>
      <c r="C139" s="2" t="s">
        <v>73</v>
      </c>
      <c r="D139" s="2" t="s">
        <v>10</v>
      </c>
      <c r="E139" s="5">
        <v>2.5950000000000002</v>
      </c>
      <c r="F139" s="5">
        <v>2.5939999999999999</v>
      </c>
      <c r="G139" s="5">
        <v>2.9889999999999999</v>
      </c>
      <c r="H139" s="5">
        <v>3.06</v>
      </c>
      <c r="I139" s="5">
        <v>3.7210000000000001</v>
      </c>
      <c r="J139" s="5">
        <v>4.1109999999999998</v>
      </c>
      <c r="K139" s="5">
        <v>6.4569999999999999</v>
      </c>
      <c r="L139" s="5">
        <v>6.657</v>
      </c>
      <c r="M139" s="5">
        <v>5.0469999999999997</v>
      </c>
      <c r="N139" s="5">
        <v>3.3490000000000002</v>
      </c>
      <c r="O139" s="5">
        <v>2.0390000000000001</v>
      </c>
      <c r="P139" s="5">
        <v>3.2090000000000001</v>
      </c>
      <c r="Q139" s="5">
        <v>4.4139999999999997</v>
      </c>
      <c r="R139" s="5">
        <v>3.79</v>
      </c>
      <c r="S139" s="5">
        <v>3.246</v>
      </c>
      <c r="T139" s="5">
        <v>2.278</v>
      </c>
      <c r="U139" s="5">
        <v>2.1429999999999998</v>
      </c>
      <c r="V139" s="5">
        <v>2.6110000000000002</v>
      </c>
      <c r="W139" s="5">
        <v>3.2050000000000001</v>
      </c>
      <c r="X139" s="5">
        <v>3.6859999999999999</v>
      </c>
      <c r="Y139" s="5">
        <v>3.169</v>
      </c>
      <c r="Z139" s="5">
        <v>4.0670000000000002</v>
      </c>
      <c r="AA139" s="5">
        <v>6.4809999999999999</v>
      </c>
      <c r="AB139" s="5">
        <v>6.1379999999999999</v>
      </c>
      <c r="AC139" s="5">
        <v>6.0419999999999998</v>
      </c>
      <c r="AD139" s="7"/>
    </row>
    <row r="140" spans="1:30" x14ac:dyDescent="0.3">
      <c r="A140" s="2" t="s">
        <v>80</v>
      </c>
      <c r="B140" s="3" t="s">
        <v>81</v>
      </c>
      <c r="C140" s="2" t="s">
        <v>73</v>
      </c>
      <c r="D140" s="2" t="s">
        <v>11</v>
      </c>
      <c r="E140" s="5">
        <v>3.141907338187</v>
      </c>
      <c r="F140" s="5">
        <v>5.1836611249023603</v>
      </c>
      <c r="G140" s="5">
        <v>8.7326857644012694</v>
      </c>
      <c r="H140" s="5">
        <v>6.4732586716654303</v>
      </c>
      <c r="I140" s="5">
        <v>6.8072333436188304</v>
      </c>
      <c r="J140" s="5">
        <v>6.3325651162315602</v>
      </c>
      <c r="K140" s="5">
        <v>10.7847443857453</v>
      </c>
      <c r="L140" s="5">
        <v>8.4124259655107103</v>
      </c>
      <c r="M140" s="5">
        <v>8.7087519015449892</v>
      </c>
      <c r="N140" s="5">
        <v>6.8015173486039497</v>
      </c>
      <c r="O140" s="5">
        <v>5.63761163749757</v>
      </c>
      <c r="P140" s="5">
        <v>9.3916554927176001</v>
      </c>
      <c r="Q140" s="5">
        <v>3.83745560605229</v>
      </c>
      <c r="R140" s="5">
        <v>3.5869058262302498</v>
      </c>
      <c r="S140" s="5">
        <v>5.1063073253979603</v>
      </c>
      <c r="T140" s="5">
        <v>5.1878598600246599</v>
      </c>
      <c r="U140" s="5">
        <v>4.7810002925448201</v>
      </c>
      <c r="V140" s="5">
        <v>3.1314055172359598</v>
      </c>
      <c r="W140" s="5">
        <v>6.3039237826299699</v>
      </c>
      <c r="X140" s="5">
        <v>6.4387450327643903</v>
      </c>
      <c r="Y140" s="5">
        <v>2.9513064221809802</v>
      </c>
      <c r="Z140" s="5">
        <v>3.53658034070898</v>
      </c>
      <c r="AA140" s="5">
        <v>4.5880219218177301</v>
      </c>
      <c r="AB140" s="5">
        <v>5.3369729551146898</v>
      </c>
      <c r="AC140" s="5">
        <v>6.0555807587558999</v>
      </c>
      <c r="AD140" s="7"/>
    </row>
    <row r="141" spans="1:30" x14ac:dyDescent="0.3">
      <c r="A141" s="2" t="s">
        <v>82</v>
      </c>
      <c r="B141" s="3" t="s">
        <v>83</v>
      </c>
      <c r="C141" s="2" t="s">
        <v>73</v>
      </c>
      <c r="D141" s="2" t="s">
        <v>8</v>
      </c>
      <c r="E141" s="4">
        <v>3286049.4820533302</v>
      </c>
      <c r="F141" s="4">
        <v>3392958.6261612298</v>
      </c>
      <c r="G141" s="4">
        <v>3432346.2055694</v>
      </c>
      <c r="H141" s="4">
        <v>14224542.9634089</v>
      </c>
      <c r="I141" s="4">
        <v>38543559.849426903</v>
      </c>
      <c r="J141" s="4">
        <v>22203341.192093201</v>
      </c>
      <c r="K141" s="4">
        <v>108287709.38718501</v>
      </c>
      <c r="L141" s="4">
        <v>195351140.270423</v>
      </c>
      <c r="M141" s="4">
        <v>227654582.18218401</v>
      </c>
      <c r="N141" s="4">
        <v>96859684.561756894</v>
      </c>
      <c r="O141" s="4">
        <v>36501032.517260201</v>
      </c>
      <c r="P141" s="4">
        <v>79000230.698679298</v>
      </c>
      <c r="Q141" s="4">
        <v>109998255.692911</v>
      </c>
      <c r="R141" s="4">
        <v>286004467.67686403</v>
      </c>
      <c r="S141" s="4">
        <v>152998238.81252</v>
      </c>
      <c r="T141" s="4">
        <v>143832186.40453199</v>
      </c>
      <c r="U141" s="4">
        <v>159997974.35305899</v>
      </c>
      <c r="V141" s="4">
        <v>164929861.974668</v>
      </c>
      <c r="W141" s="4">
        <v>170000000</v>
      </c>
      <c r="X141" s="4">
        <v>174999015.310514</v>
      </c>
      <c r="Y141" s="4">
        <v>158230011</v>
      </c>
      <c r="Z141" s="4">
        <v>166750130.82303101</v>
      </c>
      <c r="AA141" s="4">
        <v>187022847.62380701</v>
      </c>
      <c r="AB141" s="4">
        <v>137009451</v>
      </c>
      <c r="AC141" s="4">
        <v>67819948.247534007</v>
      </c>
      <c r="AD141" s="7"/>
    </row>
    <row r="142" spans="1:30" x14ac:dyDescent="0.3">
      <c r="A142" s="2" t="s">
        <v>82</v>
      </c>
      <c r="B142" s="3" t="s">
        <v>83</v>
      </c>
      <c r="C142" s="2" t="s">
        <v>73</v>
      </c>
      <c r="D142" s="2" t="s">
        <v>9</v>
      </c>
      <c r="E142" s="4">
        <v>737.61218364405204</v>
      </c>
      <c r="F142" s="4">
        <v>742.13379110706296</v>
      </c>
      <c r="G142" s="4">
        <v>743.01327042034802</v>
      </c>
      <c r="H142" s="4">
        <v>764.63446522459697</v>
      </c>
      <c r="I142" s="4">
        <v>806.261652944964</v>
      </c>
      <c r="J142" s="4">
        <v>844.44835739079997</v>
      </c>
      <c r="K142" s="4">
        <v>898.46462813677397</v>
      </c>
      <c r="L142" s="4">
        <v>969.57322019190201</v>
      </c>
      <c r="M142" s="4">
        <v>1119.1523334696899</v>
      </c>
      <c r="N142" s="4">
        <v>1150.9375857488999</v>
      </c>
      <c r="O142" s="4">
        <v>1213.2335255343</v>
      </c>
      <c r="P142" s="4">
        <v>1306.34552844977</v>
      </c>
      <c r="Q142" s="4">
        <v>1400.19357858954</v>
      </c>
      <c r="R142" s="4">
        <v>2075.9449842474801</v>
      </c>
      <c r="S142" s="4">
        <v>2214.6208414243201</v>
      </c>
      <c r="T142" s="4">
        <v>2376.1255471987301</v>
      </c>
      <c r="U142" s="4">
        <v>2510.4300076241002</v>
      </c>
      <c r="V142" s="4">
        <v>2618.9552114736898</v>
      </c>
      <c r="W142" s="4">
        <v>2718.0833879920301</v>
      </c>
      <c r="X142" s="4">
        <v>2837.1690234093198</v>
      </c>
      <c r="Y142" s="4">
        <v>2844.8881064785301</v>
      </c>
      <c r="Z142" s="4">
        <v>3025.91126413549</v>
      </c>
      <c r="AA142" s="4">
        <v>3133.2577977246301</v>
      </c>
      <c r="AB142" s="4">
        <v>3381.29779710722</v>
      </c>
      <c r="AC142" s="4">
        <v>3552.7233507922201</v>
      </c>
      <c r="AD142" s="7"/>
    </row>
    <row r="143" spans="1:30" x14ac:dyDescent="0.3">
      <c r="A143" s="2" t="s">
        <v>82</v>
      </c>
      <c r="B143" s="3" t="s">
        <v>83</v>
      </c>
      <c r="C143" s="2" t="s">
        <v>73</v>
      </c>
      <c r="D143" s="2" t="s">
        <v>10</v>
      </c>
      <c r="E143" s="5">
        <v>0.59599999999999997</v>
      </c>
      <c r="F143" s="5">
        <v>0.59299999999999997</v>
      </c>
      <c r="G143" s="5">
        <v>0.58099999999999996</v>
      </c>
      <c r="H143" s="5">
        <v>2.2869999999999999</v>
      </c>
      <c r="I143" s="5">
        <v>5.7869999999999999</v>
      </c>
      <c r="J143" s="5">
        <v>3.133</v>
      </c>
      <c r="K143" s="5">
        <v>14.084</v>
      </c>
      <c r="L143" s="5">
        <v>23.039000000000001</v>
      </c>
      <c r="M143" s="5">
        <v>22.786000000000001</v>
      </c>
      <c r="N143" s="5">
        <v>9.2330000000000005</v>
      </c>
      <c r="O143" s="5">
        <v>3.234</v>
      </c>
      <c r="P143" s="5">
        <v>6.375</v>
      </c>
      <c r="Q143" s="5">
        <v>8.1259999999999994</v>
      </c>
      <c r="R143" s="5">
        <v>13.989000000000001</v>
      </c>
      <c r="S143" s="5">
        <v>6.89</v>
      </c>
      <c r="T143" s="5">
        <v>5.9329999999999998</v>
      </c>
      <c r="U143" s="5">
        <v>6.1420000000000003</v>
      </c>
      <c r="V143" s="5">
        <v>5.97</v>
      </c>
      <c r="W143" s="5">
        <v>5.835</v>
      </c>
      <c r="X143" s="5">
        <v>5.6660000000000004</v>
      </c>
      <c r="Y143" s="5">
        <v>5.0330000000000004</v>
      </c>
      <c r="Z143" s="5">
        <v>4.915</v>
      </c>
      <c r="AA143" s="5">
        <v>5.2489999999999997</v>
      </c>
      <c r="AB143" s="5">
        <v>3.5139999999999998</v>
      </c>
      <c r="AC143" s="5">
        <v>1.633</v>
      </c>
      <c r="AD143" s="7"/>
    </row>
    <row r="144" spans="1:30" x14ac:dyDescent="0.3">
      <c r="A144" s="2" t="s">
        <v>82</v>
      </c>
      <c r="B144" s="3" t="s">
        <v>83</v>
      </c>
      <c r="C144" s="2" t="s">
        <v>73</v>
      </c>
      <c r="D144" s="2" t="s">
        <v>11</v>
      </c>
      <c r="E144" s="10" t="s">
        <v>14</v>
      </c>
      <c r="F144" s="10" t="s">
        <v>14</v>
      </c>
      <c r="G144" s="10" t="s">
        <v>14</v>
      </c>
      <c r="H144" s="10" t="s">
        <v>14</v>
      </c>
      <c r="I144" s="10" t="s">
        <v>14</v>
      </c>
      <c r="J144" s="10" t="s">
        <v>14</v>
      </c>
      <c r="K144" s="10" t="s">
        <v>14</v>
      </c>
      <c r="L144" s="10" t="s">
        <v>14</v>
      </c>
      <c r="M144" s="10" t="s">
        <v>14</v>
      </c>
      <c r="N144" s="10" t="s">
        <v>14</v>
      </c>
      <c r="O144" s="10" t="s">
        <v>14</v>
      </c>
      <c r="P144" s="10" t="s">
        <v>14</v>
      </c>
      <c r="Q144" s="10" t="s">
        <v>14</v>
      </c>
      <c r="R144" s="10" t="s">
        <v>14</v>
      </c>
      <c r="S144" s="5">
        <v>7.1929872846369696</v>
      </c>
      <c r="T144" s="5">
        <v>7.30898563450799</v>
      </c>
      <c r="U144" s="5">
        <v>7.1234323372872002</v>
      </c>
      <c r="V144" s="5">
        <v>5.4580915172119999</v>
      </c>
      <c r="W144" s="5">
        <v>4.7743393494319299</v>
      </c>
      <c r="X144" s="5">
        <v>5.5450808115497798</v>
      </c>
      <c r="Y144" s="5">
        <v>1.2021151728969</v>
      </c>
      <c r="Z144" s="5">
        <v>4.4071566756115299</v>
      </c>
      <c r="AA144" s="5">
        <v>5.1665370285437398</v>
      </c>
      <c r="AB144" s="5">
        <v>6.8073352940330798</v>
      </c>
      <c r="AC144" s="5">
        <v>6.9804846727633398</v>
      </c>
      <c r="AD144" s="7"/>
    </row>
    <row r="145" spans="1:30" x14ac:dyDescent="0.3">
      <c r="A145" s="2" t="s">
        <v>84</v>
      </c>
      <c r="B145" s="3" t="s">
        <v>85</v>
      </c>
      <c r="C145" s="2" t="s">
        <v>73</v>
      </c>
      <c r="D145" s="2" t="s">
        <v>8</v>
      </c>
      <c r="E145" s="4">
        <v>27870110</v>
      </c>
      <c r="F145" s="4">
        <v>12131630</v>
      </c>
      <c r="G145" s="4">
        <v>22766170</v>
      </c>
      <c r="H145" s="4">
        <v>24999790</v>
      </c>
      <c r="I145" s="4">
        <v>24103660</v>
      </c>
      <c r="J145" s="4">
        <v>1431550</v>
      </c>
      <c r="K145" s="4">
        <v>15375610</v>
      </c>
      <c r="L145" s="4">
        <v>7206500</v>
      </c>
      <c r="M145" s="4">
        <v>39000000</v>
      </c>
      <c r="N145" s="4">
        <v>91000000</v>
      </c>
      <c r="O145" s="4">
        <v>91000000</v>
      </c>
      <c r="P145" s="4">
        <v>39000000</v>
      </c>
      <c r="Q145" s="4">
        <v>41358000</v>
      </c>
      <c r="R145" s="4">
        <v>43859000</v>
      </c>
      <c r="S145" s="4">
        <v>46511000</v>
      </c>
      <c r="T145" s="4">
        <v>49323000</v>
      </c>
      <c r="U145" s="4">
        <v>52305000</v>
      </c>
      <c r="V145" s="4">
        <v>55468000</v>
      </c>
      <c r="W145" s="4">
        <v>61015000</v>
      </c>
      <c r="X145" s="4">
        <v>-60671910</v>
      </c>
      <c r="Y145" s="4">
        <v>-30349590</v>
      </c>
      <c r="Z145" s="4">
        <v>-31228190</v>
      </c>
      <c r="AA145" s="4">
        <v>-32045670</v>
      </c>
      <c r="AB145" s="4">
        <v>2070380</v>
      </c>
      <c r="AC145" s="4">
        <v>-27949590</v>
      </c>
      <c r="AD145" s="7"/>
    </row>
    <row r="146" spans="1:30" x14ac:dyDescent="0.3">
      <c r="A146" s="2" t="s">
        <v>84</v>
      </c>
      <c r="B146" s="3" t="s">
        <v>85</v>
      </c>
      <c r="C146" s="2" t="s">
        <v>73</v>
      </c>
      <c r="D146" s="2" t="s">
        <v>9</v>
      </c>
      <c r="E146" s="4">
        <v>314.35739675350101</v>
      </c>
      <c r="F146" s="4">
        <v>325.40916151359301</v>
      </c>
      <c r="G146" s="4">
        <v>304.775756465092</v>
      </c>
      <c r="H146" s="4">
        <v>348.95032707774197</v>
      </c>
      <c r="I146" s="4">
        <v>426.84094788703197</v>
      </c>
      <c r="J146" s="4">
        <v>412.75307919942401</v>
      </c>
      <c r="K146" s="4">
        <v>447.997404727201</v>
      </c>
      <c r="L146" s="4">
        <v>480.44762365456</v>
      </c>
      <c r="M146" s="4">
        <v>490.06695600333302</v>
      </c>
      <c r="N146" s="4">
        <v>642.92572288007102</v>
      </c>
      <c r="O146" s="4">
        <v>539.69951206968597</v>
      </c>
      <c r="P146" s="4">
        <v>688.68165957684005</v>
      </c>
      <c r="Q146" s="10" t="s">
        <v>14</v>
      </c>
      <c r="R146" s="10" t="s">
        <v>14</v>
      </c>
      <c r="S146" s="10" t="s">
        <v>14</v>
      </c>
      <c r="T146" s="10" t="s">
        <v>14</v>
      </c>
      <c r="U146" s="10" t="s">
        <v>14</v>
      </c>
      <c r="V146" s="10" t="s">
        <v>14</v>
      </c>
      <c r="W146" s="10" t="s">
        <v>14</v>
      </c>
      <c r="X146" s="10" t="s">
        <v>14</v>
      </c>
      <c r="Y146" s="10" t="s">
        <v>14</v>
      </c>
      <c r="Z146" s="10" t="s">
        <v>14</v>
      </c>
      <c r="AA146" s="10" t="s">
        <v>14</v>
      </c>
      <c r="AB146" s="10" t="s">
        <v>14</v>
      </c>
      <c r="AC146" s="10" t="s">
        <v>14</v>
      </c>
      <c r="AD146" s="7"/>
    </row>
    <row r="147" spans="1:30" x14ac:dyDescent="0.3">
      <c r="A147" s="2" t="s">
        <v>84</v>
      </c>
      <c r="B147" s="3" t="s">
        <v>85</v>
      </c>
      <c r="C147" s="2" t="s">
        <v>73</v>
      </c>
      <c r="D147" s="2" t="s">
        <v>10</v>
      </c>
      <c r="E147" s="5">
        <v>3.9460000000000002</v>
      </c>
      <c r="F147" s="5">
        <v>1.6120000000000001</v>
      </c>
      <c r="G147" s="5">
        <v>3.1219999999999999</v>
      </c>
      <c r="H147" s="5">
        <v>2.8730000000000002</v>
      </c>
      <c r="I147" s="5">
        <v>2.173</v>
      </c>
      <c r="J147" s="5">
        <v>0.13</v>
      </c>
      <c r="K147" s="5">
        <v>1.2689999999999999</v>
      </c>
      <c r="L147" s="5">
        <v>0.54700000000000004</v>
      </c>
      <c r="M147" s="5">
        <v>2.8260000000000001</v>
      </c>
      <c r="N147" s="5">
        <v>4.9009999999999998</v>
      </c>
      <c r="O147" s="5">
        <v>5.7249999999999996</v>
      </c>
      <c r="P147" s="5">
        <v>1.889</v>
      </c>
      <c r="Q147" s="10" t="s">
        <v>14</v>
      </c>
      <c r="R147" s="10" t="s">
        <v>14</v>
      </c>
      <c r="S147" s="10" t="s">
        <v>14</v>
      </c>
      <c r="T147" s="10" t="s">
        <v>14</v>
      </c>
      <c r="U147" s="10" t="s">
        <v>14</v>
      </c>
      <c r="V147" s="10" t="s">
        <v>14</v>
      </c>
      <c r="W147" s="10" t="s">
        <v>14</v>
      </c>
      <c r="X147" s="10" t="s">
        <v>14</v>
      </c>
      <c r="Y147" s="10" t="s">
        <v>14</v>
      </c>
      <c r="Z147" s="10" t="s">
        <v>14</v>
      </c>
      <c r="AA147" s="10" t="s">
        <v>14</v>
      </c>
      <c r="AB147" s="10" t="s">
        <v>14</v>
      </c>
      <c r="AC147" s="10" t="s">
        <v>14</v>
      </c>
      <c r="AD147" s="7"/>
    </row>
    <row r="148" spans="1:30" x14ac:dyDescent="0.3">
      <c r="A148" s="2" t="s">
        <v>84</v>
      </c>
      <c r="B148" s="3" t="s">
        <v>85</v>
      </c>
      <c r="C148" s="2" t="s">
        <v>73</v>
      </c>
      <c r="D148" s="2" t="s">
        <v>11</v>
      </c>
      <c r="E148" s="5">
        <v>-3.1419859025163799</v>
      </c>
      <c r="F148" s="5">
        <v>8.7554355281632503</v>
      </c>
      <c r="G148" s="5">
        <v>3.0054291917378002</v>
      </c>
      <c r="H148" s="5">
        <v>-2.65551592487554</v>
      </c>
      <c r="I148" s="5">
        <v>1.4517355659550599</v>
      </c>
      <c r="J148" s="5">
        <v>2.5744495512484602</v>
      </c>
      <c r="K148" s="5">
        <v>-0.96921711071135497</v>
      </c>
      <c r="L148" s="5">
        <v>1.4268222112032301</v>
      </c>
      <c r="M148" s="5">
        <v>-9.7830300178245597</v>
      </c>
      <c r="N148" s="5">
        <v>3.8765015275421</v>
      </c>
      <c r="O148" s="5">
        <v>2.1941903488808201</v>
      </c>
      <c r="P148" s="5">
        <v>8.67980010138049</v>
      </c>
      <c r="Q148" s="10" t="s">
        <v>14</v>
      </c>
      <c r="R148" s="10" t="s">
        <v>14</v>
      </c>
      <c r="S148" s="10" t="s">
        <v>14</v>
      </c>
      <c r="T148" s="10" t="s">
        <v>14</v>
      </c>
      <c r="U148" s="10" t="s">
        <v>14</v>
      </c>
      <c r="V148" s="10" t="s">
        <v>14</v>
      </c>
      <c r="W148" s="10" t="s">
        <v>14</v>
      </c>
      <c r="X148" s="10" t="s">
        <v>14</v>
      </c>
      <c r="Y148" s="10" t="s">
        <v>14</v>
      </c>
      <c r="Z148" s="10" t="s">
        <v>14</v>
      </c>
      <c r="AA148" s="10" t="s">
        <v>14</v>
      </c>
      <c r="AB148" s="10" t="s">
        <v>14</v>
      </c>
      <c r="AC148" s="10" t="s">
        <v>14</v>
      </c>
      <c r="AD148" s="7"/>
    </row>
    <row r="149" spans="1:30" x14ac:dyDescent="0.3">
      <c r="A149" s="2" t="s">
        <v>86</v>
      </c>
      <c r="B149" s="3" t="s">
        <v>87</v>
      </c>
      <c r="C149" s="2" t="s">
        <v>73</v>
      </c>
      <c r="D149" s="2" t="s">
        <v>8</v>
      </c>
      <c r="E149" s="4">
        <v>134640000</v>
      </c>
      <c r="F149" s="4">
        <v>349400000</v>
      </c>
      <c r="G149" s="4">
        <v>255000000</v>
      </c>
      <c r="H149" s="4">
        <v>465000000</v>
      </c>
      <c r="I149" s="4">
        <v>545100000</v>
      </c>
      <c r="J149" s="4">
        <v>265111675.48238501</v>
      </c>
      <c r="K149" s="4">
        <v>545257102.178303</v>
      </c>
      <c r="L149" s="4">
        <v>222000572.994807</v>
      </c>
      <c r="M149" s="4">
        <v>108537543.965442</v>
      </c>
      <c r="N149" s="4">
        <v>221459581.361983</v>
      </c>
      <c r="O149" s="4">
        <v>288271568.25074399</v>
      </c>
      <c r="P149" s="4">
        <v>628624805.99866402</v>
      </c>
      <c r="Q149" s="4">
        <v>278562822.16286099</v>
      </c>
      <c r="R149" s="4">
        <v>1343876023.73137</v>
      </c>
      <c r="S149" s="4">
        <v>1855052153.6410601</v>
      </c>
      <c r="T149" s="4">
        <v>2626517918.3129902</v>
      </c>
      <c r="U149" s="4">
        <v>4142937496.4632902</v>
      </c>
      <c r="V149" s="4">
        <v>4017159564.6543398</v>
      </c>
      <c r="W149" s="4">
        <v>3360419368.6529398</v>
      </c>
      <c r="X149" s="4">
        <v>2548743427.3575301</v>
      </c>
      <c r="Y149" s="4">
        <v>2395799880.6598401</v>
      </c>
      <c r="Z149" s="4">
        <v>4259445795.28262</v>
      </c>
      <c r="AA149" s="4">
        <v>3669991332.17485</v>
      </c>
      <c r="AB149" s="4">
        <v>3262966283.5193901</v>
      </c>
      <c r="AC149" s="4">
        <v>4021755290</v>
      </c>
      <c r="AD149" s="7"/>
    </row>
    <row r="150" spans="1:30" x14ac:dyDescent="0.3">
      <c r="A150" s="2" t="s">
        <v>86</v>
      </c>
      <c r="B150" s="3" t="s">
        <v>87</v>
      </c>
      <c r="C150" s="2" t="s">
        <v>73</v>
      </c>
      <c r="D150" s="2" t="s">
        <v>9</v>
      </c>
      <c r="E150" s="4">
        <v>122.269202606069</v>
      </c>
      <c r="F150" s="4">
        <v>118.457204255261</v>
      </c>
      <c r="G150" s="4">
        <v>109.593813612988</v>
      </c>
      <c r="H150" s="4">
        <v>116.800491132777</v>
      </c>
      <c r="I150" s="4">
        <v>133.16981253809601</v>
      </c>
      <c r="J150" s="4">
        <v>158.243458082465</v>
      </c>
      <c r="K150" s="4">
        <v>189.34573752141799</v>
      </c>
      <c r="L150" s="4">
        <v>237.14625599631901</v>
      </c>
      <c r="M150" s="4">
        <v>316.410475118075</v>
      </c>
      <c r="N150" s="4">
        <v>368.57471226744502</v>
      </c>
      <c r="O150" s="4">
        <v>330.61941279864402</v>
      </c>
      <c r="P150" s="4">
        <v>343.02494235188698</v>
      </c>
      <c r="Q150" s="4">
        <v>452.10103188575403</v>
      </c>
      <c r="R150" s="4">
        <v>484.03983310406198</v>
      </c>
      <c r="S150" s="4">
        <v>549.98657708258804</v>
      </c>
      <c r="T150" s="4">
        <v>597.91211321866297</v>
      </c>
      <c r="U150" s="4">
        <v>641.65152328623299</v>
      </c>
      <c r="V150" s="4">
        <v>696.34842907621601</v>
      </c>
      <c r="W150" s="4">
        <v>739.70202227208597</v>
      </c>
      <c r="X150" s="4">
        <v>793.47324721026405</v>
      </c>
      <c r="Y150" s="4">
        <v>829.79098254794701</v>
      </c>
      <c r="Z150" s="4">
        <v>893.00983544905</v>
      </c>
      <c r="AA150" s="4">
        <v>982.10316150699202</v>
      </c>
      <c r="AB150" s="4">
        <v>1055.8109159252699</v>
      </c>
      <c r="AC150" s="4">
        <v>1133.88279681719</v>
      </c>
      <c r="AD150" s="7"/>
    </row>
    <row r="151" spans="1:30" x14ac:dyDescent="0.3">
      <c r="A151" s="2" t="s">
        <v>86</v>
      </c>
      <c r="B151" s="3" t="s">
        <v>87</v>
      </c>
      <c r="C151" s="2" t="s">
        <v>73</v>
      </c>
      <c r="D151" s="2" t="s">
        <v>10</v>
      </c>
      <c r="E151" s="5">
        <v>1.6339999999999999</v>
      </c>
      <c r="F151" s="5">
        <v>4.2450000000000001</v>
      </c>
      <c r="G151" s="5">
        <v>3.2480000000000002</v>
      </c>
      <c r="H151" s="5">
        <v>5.3920000000000003</v>
      </c>
      <c r="I151" s="5">
        <v>5.38</v>
      </c>
      <c r="J151" s="5">
        <v>2.1379999999999999</v>
      </c>
      <c r="K151" s="5">
        <v>3.5680000000000001</v>
      </c>
      <c r="L151" s="5">
        <v>1.1259999999999999</v>
      </c>
      <c r="M151" s="5">
        <v>0.40100000000000002</v>
      </c>
      <c r="N151" s="5">
        <v>0.68300000000000005</v>
      </c>
      <c r="O151" s="5">
        <v>0.96299999999999997</v>
      </c>
      <c r="P151" s="5">
        <v>1.9670000000000001</v>
      </c>
      <c r="Q151" s="5">
        <v>0.64300000000000002</v>
      </c>
      <c r="R151" s="5">
        <v>2.82</v>
      </c>
      <c r="S151" s="5">
        <v>3.3359999999999999</v>
      </c>
      <c r="T151" s="5">
        <v>4.2290000000000001</v>
      </c>
      <c r="U151" s="5">
        <v>6.05</v>
      </c>
      <c r="V151" s="5">
        <v>5.26</v>
      </c>
      <c r="W151" s="5">
        <v>4.032</v>
      </c>
      <c r="X151" s="5">
        <v>2.7749999999999999</v>
      </c>
      <c r="Y151" s="5">
        <v>2.4279999999999999</v>
      </c>
      <c r="Z151" s="5">
        <v>3.9049999999999998</v>
      </c>
      <c r="AA151" s="5">
        <v>2.98</v>
      </c>
      <c r="AB151" s="5">
        <v>2.4009999999999998</v>
      </c>
      <c r="AC151" s="5">
        <v>2.6859999999999999</v>
      </c>
      <c r="AD151" s="7"/>
    </row>
    <row r="152" spans="1:30" x14ac:dyDescent="0.3">
      <c r="A152" s="2" t="s">
        <v>86</v>
      </c>
      <c r="B152" s="3" t="s">
        <v>87</v>
      </c>
      <c r="C152" s="2" t="s">
        <v>73</v>
      </c>
      <c r="D152" s="2" t="s">
        <v>11</v>
      </c>
      <c r="E152" s="5">
        <v>6.07321748125295</v>
      </c>
      <c r="F152" s="5">
        <v>8.3013063226796504</v>
      </c>
      <c r="G152" s="5">
        <v>1.51472570667433</v>
      </c>
      <c r="H152" s="5">
        <v>-2.1613597225686498</v>
      </c>
      <c r="I152" s="5">
        <v>13.5726031401471</v>
      </c>
      <c r="J152" s="5">
        <v>11.818765949162501</v>
      </c>
      <c r="K152" s="5">
        <v>10.834727067937299</v>
      </c>
      <c r="L152" s="5">
        <v>11.456167001989099</v>
      </c>
      <c r="M152" s="5">
        <v>10.788521687033199</v>
      </c>
      <c r="N152" s="5">
        <v>8.8025531990487007</v>
      </c>
      <c r="O152" s="5">
        <v>12.550538334763299</v>
      </c>
      <c r="P152" s="5">
        <v>11.1782962297008</v>
      </c>
      <c r="Q152" s="5">
        <v>8.6478116351392593</v>
      </c>
      <c r="R152" s="5">
        <v>10.5822700502552</v>
      </c>
      <c r="S152" s="5">
        <v>10.257492962747699</v>
      </c>
      <c r="T152" s="5">
        <v>10.3924630141307</v>
      </c>
      <c r="U152" s="5">
        <v>9.4334826598190507</v>
      </c>
      <c r="V152" s="5">
        <v>9.5641896575401404</v>
      </c>
      <c r="W152" s="5">
        <v>6.8161477855728201</v>
      </c>
      <c r="X152" s="5">
        <v>8.3640857331405396</v>
      </c>
      <c r="Y152" s="5">
        <v>6.0595308905480803</v>
      </c>
      <c r="Z152" s="5">
        <v>5.64153069257077</v>
      </c>
      <c r="AA152" s="5">
        <v>5.3217598840337796</v>
      </c>
      <c r="AB152" s="5">
        <v>6.59424599357075</v>
      </c>
      <c r="AC152" s="5">
        <v>7.6127744751107302</v>
      </c>
      <c r="AD152" s="7"/>
    </row>
    <row r="153" spans="1:30" x14ac:dyDescent="0.3">
      <c r="A153" s="2" t="s">
        <v>88</v>
      </c>
      <c r="B153" s="3" t="s">
        <v>89</v>
      </c>
      <c r="C153" s="2" t="s">
        <v>73</v>
      </c>
      <c r="D153" s="2" t="s">
        <v>8</v>
      </c>
      <c r="E153" s="4">
        <v>270000</v>
      </c>
      <c r="F153" s="4">
        <v>40000</v>
      </c>
      <c r="G153" s="4">
        <v>140000</v>
      </c>
      <c r="H153" s="4">
        <v>-850000</v>
      </c>
      <c r="I153" s="4">
        <v>-4790000</v>
      </c>
      <c r="J153" s="4">
        <v>24000000</v>
      </c>
      <c r="K153" s="4">
        <v>96000000</v>
      </c>
      <c r="L153" s="4">
        <v>141000000</v>
      </c>
      <c r="M153" s="4">
        <v>87000000</v>
      </c>
      <c r="N153" s="4">
        <v>108000000</v>
      </c>
      <c r="O153" s="4">
        <v>112000000</v>
      </c>
      <c r="P153" s="4">
        <v>102000000</v>
      </c>
      <c r="Q153" s="4">
        <v>107330000</v>
      </c>
      <c r="R153" s="4">
        <v>258000000</v>
      </c>
      <c r="S153" s="4">
        <v>261000000</v>
      </c>
      <c r="T153" s="4">
        <v>303000000</v>
      </c>
      <c r="U153" s="4">
        <v>330000000</v>
      </c>
      <c r="V153" s="4">
        <v>369000000</v>
      </c>
      <c r="W153" s="4">
        <v>408000000</v>
      </c>
      <c r="X153" s="4">
        <v>447000000</v>
      </c>
      <c r="Y153" s="4">
        <v>534000000</v>
      </c>
      <c r="Z153" s="4">
        <v>601000000</v>
      </c>
      <c r="AA153" s="4">
        <v>636000000</v>
      </c>
      <c r="AB153" s="4">
        <v>676500000</v>
      </c>
      <c r="AC153" s="4">
        <v>765000000</v>
      </c>
      <c r="AD153" s="7"/>
    </row>
    <row r="154" spans="1:30" x14ac:dyDescent="0.3">
      <c r="A154" s="2" t="s">
        <v>88</v>
      </c>
      <c r="B154" s="3" t="s">
        <v>89</v>
      </c>
      <c r="C154" s="2" t="s">
        <v>73</v>
      </c>
      <c r="D154" s="2" t="s">
        <v>9</v>
      </c>
      <c r="E154" s="4">
        <v>386.11927440127499</v>
      </c>
      <c r="F154" s="4">
        <v>244.91484253845499</v>
      </c>
      <c r="G154" s="4">
        <v>229.59891831003901</v>
      </c>
      <c r="H154" s="4">
        <v>286.27302519897501</v>
      </c>
      <c r="I154" s="4">
        <v>375.410326225387</v>
      </c>
      <c r="J154" s="4">
        <v>439.97990780547798</v>
      </c>
      <c r="K154" s="4">
        <v>457.99666220665898</v>
      </c>
      <c r="L154" s="4">
        <v>479.63562806528898</v>
      </c>
      <c r="M154" s="4">
        <v>507.03744334738002</v>
      </c>
      <c r="N154" s="4">
        <v>246.51325167510501</v>
      </c>
      <c r="O154" s="4">
        <v>219.20245385239701</v>
      </c>
      <c r="P154" s="4">
        <v>235.32594561043399</v>
      </c>
      <c r="Q154" s="4">
        <v>350.26194672051201</v>
      </c>
      <c r="R154" s="4">
        <v>393.39870395297902</v>
      </c>
      <c r="S154" s="4">
        <v>429.43165672510202</v>
      </c>
      <c r="T154" s="4">
        <v>445.58308007339599</v>
      </c>
      <c r="U154" s="4">
        <v>460.92849058517498</v>
      </c>
      <c r="V154" s="4">
        <v>510.93995231772601</v>
      </c>
      <c r="W154" s="4">
        <v>509.49727380453402</v>
      </c>
      <c r="X154" s="4">
        <v>539.95481621169404</v>
      </c>
      <c r="Y154" s="4">
        <v>518.16113333875001</v>
      </c>
      <c r="Z154" s="4">
        <v>549.05699475625397</v>
      </c>
      <c r="AA154" s="4">
        <v>573.14116579822905</v>
      </c>
      <c r="AB154" s="4">
        <v>596.88598513558895</v>
      </c>
      <c r="AC154" s="4">
        <v>629.53889944900698</v>
      </c>
      <c r="AD154" s="7"/>
    </row>
    <row r="155" spans="1:30" x14ac:dyDescent="0.3">
      <c r="A155" s="2" t="s">
        <v>88</v>
      </c>
      <c r="B155" s="3" t="s">
        <v>89</v>
      </c>
      <c r="C155" s="2" t="s">
        <v>73</v>
      </c>
      <c r="D155" s="2" t="s">
        <v>10</v>
      </c>
      <c r="E155" s="5">
        <v>8.0000000000000002E-3</v>
      </c>
      <c r="F155" s="5">
        <v>2E-3</v>
      </c>
      <c r="G155" s="5">
        <v>6.0000000000000001E-3</v>
      </c>
      <c r="H155" s="5">
        <v>-0.03</v>
      </c>
      <c r="I155" s="5">
        <v>-0.124</v>
      </c>
      <c r="J155" s="5">
        <v>0.51200000000000001</v>
      </c>
      <c r="K155" s="5">
        <v>1.91</v>
      </c>
      <c r="L155" s="5">
        <v>2.5960000000000001</v>
      </c>
      <c r="M155" s="5">
        <v>1.4710000000000001</v>
      </c>
      <c r="N155" s="5">
        <v>3.6629999999999998</v>
      </c>
      <c r="O155" s="5">
        <v>4.1669999999999998</v>
      </c>
      <c r="P155" s="5">
        <v>3.51</v>
      </c>
      <c r="Q155" s="5">
        <v>2.4590000000000001</v>
      </c>
      <c r="R155" s="5">
        <v>5.0960000000000001</v>
      </c>
      <c r="S155" s="5">
        <v>4.556</v>
      </c>
      <c r="T155" s="5">
        <v>4.9249999999999998</v>
      </c>
      <c r="U155" s="5">
        <v>4.99</v>
      </c>
      <c r="V155" s="5">
        <v>4.8419999999999996</v>
      </c>
      <c r="W155" s="5">
        <v>5.1820000000000004</v>
      </c>
      <c r="X155" s="5">
        <v>5.1639999999999997</v>
      </c>
      <c r="Y155" s="5">
        <v>6.1890000000000001</v>
      </c>
      <c r="Z155" s="5">
        <v>6.3380000000000001</v>
      </c>
      <c r="AA155" s="5">
        <v>6.2329999999999997</v>
      </c>
      <c r="AB155" s="5">
        <v>6.1740000000000004</v>
      </c>
      <c r="AC155" s="5">
        <v>6.3929999999999998</v>
      </c>
      <c r="AD155" s="7"/>
    </row>
    <row r="156" spans="1:30" x14ac:dyDescent="0.3">
      <c r="A156" s="2" t="s">
        <v>88</v>
      </c>
      <c r="B156" s="3" t="s">
        <v>89</v>
      </c>
      <c r="C156" s="2" t="s">
        <v>73</v>
      </c>
      <c r="D156" s="2" t="s">
        <v>11</v>
      </c>
      <c r="E156" s="5">
        <v>7.1103143113322602</v>
      </c>
      <c r="F156" s="5">
        <v>7.1103143114281</v>
      </c>
      <c r="G156" s="5">
        <v>7.6302672932636897</v>
      </c>
      <c r="H156" s="5">
        <v>7.6302672934069502</v>
      </c>
      <c r="I156" s="5">
        <v>7.1103143112785299</v>
      </c>
      <c r="J156" s="5">
        <v>7.1103143113210301</v>
      </c>
      <c r="K156" s="5">
        <v>6.4863707326644704</v>
      </c>
      <c r="L156" s="5">
        <v>6.6943519255700501</v>
      </c>
      <c r="M156" s="5">
        <v>6.69435192576573</v>
      </c>
      <c r="N156" s="5">
        <v>6.6943519255731703</v>
      </c>
      <c r="O156" s="5">
        <v>6.69435192555878</v>
      </c>
      <c r="P156" s="5">
        <v>6.69435192565855</v>
      </c>
      <c r="Q156" s="5">
        <v>6.6943519255335797</v>
      </c>
      <c r="R156" s="5">
        <v>10.959298616474699</v>
      </c>
      <c r="S156" s="5">
        <v>8.9780059057320596</v>
      </c>
      <c r="T156" s="5">
        <v>10.462188123516601</v>
      </c>
      <c r="U156" s="5">
        <v>7.0348726004204902</v>
      </c>
      <c r="V156" s="5">
        <v>14.735795604528301</v>
      </c>
      <c r="W156" s="5">
        <v>2.0543150725945201</v>
      </c>
      <c r="X156" s="5">
        <v>2.8003331251301198</v>
      </c>
      <c r="Y156" s="5">
        <v>-2.7645569620253201</v>
      </c>
      <c r="Z156" s="5">
        <v>3.4471985003124299</v>
      </c>
      <c r="AA156" s="5">
        <v>2.7182120205375901</v>
      </c>
      <c r="AB156" s="5">
        <v>4.17524257571303</v>
      </c>
      <c r="AC156" s="5">
        <v>4.1113933577947099</v>
      </c>
      <c r="AD156" s="7"/>
    </row>
    <row r="157" spans="1:30" x14ac:dyDescent="0.3">
      <c r="A157" s="2" t="s">
        <v>90</v>
      </c>
      <c r="B157" s="3" t="s">
        <v>91</v>
      </c>
      <c r="C157" s="2" t="s">
        <v>73</v>
      </c>
      <c r="D157" s="2" t="s">
        <v>8</v>
      </c>
      <c r="E157" s="10" t="s">
        <v>14</v>
      </c>
      <c r="F157" s="10" t="s">
        <v>14</v>
      </c>
      <c r="G157" s="10" t="s">
        <v>14</v>
      </c>
      <c r="H157" s="10" t="s">
        <v>14</v>
      </c>
      <c r="I157" s="10" t="s">
        <v>14</v>
      </c>
      <c r="J157" s="10" t="s">
        <v>14</v>
      </c>
      <c r="K157" s="10" t="s">
        <v>14</v>
      </c>
      <c r="L157" s="10" t="s">
        <v>14</v>
      </c>
      <c r="M157" s="10" t="s">
        <v>14</v>
      </c>
      <c r="N157" s="10" t="s">
        <v>14</v>
      </c>
      <c r="O157" s="10" t="s">
        <v>14</v>
      </c>
      <c r="P157" s="10" t="s">
        <v>14</v>
      </c>
      <c r="Q157" s="4">
        <v>161000000</v>
      </c>
      <c r="R157" s="4">
        <v>-793000000</v>
      </c>
      <c r="S157" s="4">
        <v>1035825.73</v>
      </c>
      <c r="T157" s="4">
        <v>150000</v>
      </c>
      <c r="U157" s="4">
        <v>-7850000</v>
      </c>
      <c r="V157" s="4">
        <v>1420000</v>
      </c>
      <c r="W157" s="4">
        <v>60140000</v>
      </c>
      <c r="X157" s="4">
        <v>-2210000</v>
      </c>
      <c r="Y157" s="4">
        <v>17500000</v>
      </c>
      <c r="Z157" s="4">
        <v>67500000</v>
      </c>
      <c r="AA157" s="4">
        <v>121500000</v>
      </c>
      <c r="AB157" s="4">
        <v>-6335000</v>
      </c>
      <c r="AC157" s="4">
        <v>83417020</v>
      </c>
      <c r="AD157" s="7"/>
    </row>
    <row r="158" spans="1:30" x14ac:dyDescent="0.3">
      <c r="A158" s="2" t="s">
        <v>90</v>
      </c>
      <c r="B158" s="3" t="s">
        <v>91</v>
      </c>
      <c r="C158" s="2" t="s">
        <v>73</v>
      </c>
      <c r="D158" s="2" t="s">
        <v>9</v>
      </c>
      <c r="E158" s="10" t="s">
        <v>14</v>
      </c>
      <c r="F158" s="10" t="s">
        <v>14</v>
      </c>
      <c r="G158" s="10" t="s">
        <v>14</v>
      </c>
      <c r="H158" s="10" t="s">
        <v>14</v>
      </c>
      <c r="I158" s="10" t="s">
        <v>14</v>
      </c>
      <c r="J158" s="10" t="s">
        <v>14</v>
      </c>
      <c r="K158" s="10" t="s">
        <v>14</v>
      </c>
      <c r="L158" s="10" t="s">
        <v>14</v>
      </c>
      <c r="M158" s="4">
        <v>1654.21153546555</v>
      </c>
      <c r="N158" s="4">
        <v>1323.22068747862</v>
      </c>
      <c r="O158" s="4">
        <v>1498.27034985194</v>
      </c>
      <c r="P158" s="4">
        <v>1448.98435006408</v>
      </c>
      <c r="Q158" s="4">
        <v>1109.2605008340799</v>
      </c>
      <c r="R158" s="4">
        <v>1650.1894335352799</v>
      </c>
      <c r="S158" s="4">
        <v>1242.7345018103199</v>
      </c>
      <c r="T158" s="4">
        <v>1080.1471862476501</v>
      </c>
      <c r="U158" s="10" t="s">
        <v>14</v>
      </c>
      <c r="V158" s="10" t="s">
        <v>14</v>
      </c>
      <c r="W158" s="10" t="s">
        <v>14</v>
      </c>
      <c r="X158" s="10" t="s">
        <v>14</v>
      </c>
      <c r="Y158" s="10" t="s">
        <v>14</v>
      </c>
      <c r="Z158" s="10" t="s">
        <v>14</v>
      </c>
      <c r="AA158" s="10" t="s">
        <v>14</v>
      </c>
      <c r="AB158" s="10" t="s">
        <v>14</v>
      </c>
      <c r="AC158" s="10" t="s">
        <v>14</v>
      </c>
      <c r="AD158" s="7"/>
    </row>
    <row r="159" spans="1:30" x14ac:dyDescent="0.3">
      <c r="A159" s="2" t="s">
        <v>90</v>
      </c>
      <c r="B159" s="3" t="s">
        <v>91</v>
      </c>
      <c r="C159" s="2" t="s">
        <v>73</v>
      </c>
      <c r="D159" s="2" t="s">
        <v>10</v>
      </c>
      <c r="E159" s="10" t="s">
        <v>14</v>
      </c>
      <c r="F159" s="10" t="s">
        <v>14</v>
      </c>
      <c r="G159" s="10" t="s">
        <v>14</v>
      </c>
      <c r="H159" s="10" t="s">
        <v>14</v>
      </c>
      <c r="I159" s="10" t="s">
        <v>14</v>
      </c>
      <c r="J159" s="10" t="s">
        <v>14</v>
      </c>
      <c r="K159" s="10" t="s">
        <v>14</v>
      </c>
      <c r="L159" s="10" t="s">
        <v>14</v>
      </c>
      <c r="M159" s="10" t="s">
        <v>14</v>
      </c>
      <c r="N159" s="10" t="s">
        <v>14</v>
      </c>
      <c r="O159" s="10" t="s">
        <v>14</v>
      </c>
      <c r="P159" s="10" t="s">
        <v>14</v>
      </c>
      <c r="Q159" s="5">
        <v>1.349</v>
      </c>
      <c r="R159" s="5">
        <v>-4.3040000000000003</v>
      </c>
      <c r="S159" s="5">
        <v>7.0000000000000001E-3</v>
      </c>
      <c r="T159" s="5">
        <v>1E-3</v>
      </c>
      <c r="U159" s="10" t="s">
        <v>14</v>
      </c>
      <c r="V159" s="10" t="s">
        <v>14</v>
      </c>
      <c r="W159" s="10" t="s">
        <v>14</v>
      </c>
      <c r="X159" s="10" t="s">
        <v>14</v>
      </c>
      <c r="Y159" s="10" t="s">
        <v>14</v>
      </c>
      <c r="Z159" s="10" t="s">
        <v>14</v>
      </c>
      <c r="AA159" s="10" t="s">
        <v>14</v>
      </c>
      <c r="AB159" s="10" t="s">
        <v>14</v>
      </c>
      <c r="AC159" s="10" t="s">
        <v>14</v>
      </c>
      <c r="AD159" s="7"/>
    </row>
    <row r="160" spans="1:30" x14ac:dyDescent="0.3">
      <c r="A160" s="2" t="s">
        <v>90</v>
      </c>
      <c r="B160" s="3" t="s">
        <v>91</v>
      </c>
      <c r="C160" s="2" t="s">
        <v>73</v>
      </c>
      <c r="D160" s="2" t="s">
        <v>11</v>
      </c>
      <c r="E160" s="10" t="s">
        <v>14</v>
      </c>
      <c r="F160" s="10" t="s">
        <v>14</v>
      </c>
      <c r="G160" s="10" t="s">
        <v>14</v>
      </c>
      <c r="H160" s="10" t="s">
        <v>14</v>
      </c>
      <c r="I160" s="10" t="s">
        <v>14</v>
      </c>
      <c r="J160" s="10" t="s">
        <v>14</v>
      </c>
      <c r="K160" s="10" t="s">
        <v>14</v>
      </c>
      <c r="L160" s="10" t="s">
        <v>14</v>
      </c>
      <c r="M160" s="10" t="s">
        <v>14</v>
      </c>
      <c r="N160" s="5">
        <v>5.0416418798334197</v>
      </c>
      <c r="O160" s="5">
        <v>5.4934163952994499</v>
      </c>
      <c r="P160" s="5">
        <v>-4.6403167360085904</v>
      </c>
      <c r="Q160" s="5">
        <v>-46.082122374300702</v>
      </c>
      <c r="R160" s="5">
        <v>13.1297311406943</v>
      </c>
      <c r="S160" s="5">
        <v>3.37364847715736</v>
      </c>
      <c r="T160" s="5">
        <v>-10.7933646271143</v>
      </c>
      <c r="U160" s="10" t="s">
        <v>14</v>
      </c>
      <c r="V160" s="10" t="s">
        <v>14</v>
      </c>
      <c r="W160" s="10" t="s">
        <v>14</v>
      </c>
      <c r="X160" s="10" t="s">
        <v>14</v>
      </c>
      <c r="Y160" s="10" t="s">
        <v>14</v>
      </c>
      <c r="Z160" s="10" t="s">
        <v>14</v>
      </c>
      <c r="AA160" s="10" t="s">
        <v>14</v>
      </c>
      <c r="AB160" s="10" t="s">
        <v>14</v>
      </c>
      <c r="AC160" s="10" t="s">
        <v>14</v>
      </c>
      <c r="AD160" s="7"/>
    </row>
    <row r="161" spans="1:30" x14ac:dyDescent="0.3">
      <c r="A161" s="2" t="s">
        <v>92</v>
      </c>
      <c r="B161" s="3" t="s">
        <v>93</v>
      </c>
      <c r="C161" s="2" t="s">
        <v>73</v>
      </c>
      <c r="D161" s="2" t="s">
        <v>8</v>
      </c>
      <c r="E161" s="4">
        <v>392200000</v>
      </c>
      <c r="F161" s="4">
        <v>574000000</v>
      </c>
      <c r="G161" s="4">
        <v>713180000</v>
      </c>
      <c r="H161" s="4">
        <v>1349190000</v>
      </c>
      <c r="I161" s="4">
        <v>1511070000</v>
      </c>
      <c r="J161" s="4">
        <v>1561689996.8943501</v>
      </c>
      <c r="K161" s="4">
        <v>1841833814.0836699</v>
      </c>
      <c r="L161" s="4">
        <v>1504379838.3858399</v>
      </c>
      <c r="M161" s="4">
        <v>1653120315.4749999</v>
      </c>
      <c r="N161" s="4">
        <v>1726298402.9514501</v>
      </c>
      <c r="O161" s="4">
        <v>2063730997.6621301</v>
      </c>
      <c r="P161" s="4">
        <v>1734376994.48388</v>
      </c>
      <c r="Q161" s="4">
        <v>2311460739.7595301</v>
      </c>
      <c r="R161" s="4">
        <v>1687884178.79722</v>
      </c>
      <c r="S161" s="4">
        <v>1251280889.37784</v>
      </c>
      <c r="T161" s="4">
        <v>1728373403.43067</v>
      </c>
      <c r="U161" s="4">
        <v>1063767535.33587</v>
      </c>
      <c r="V161" s="4">
        <v>1065298481.4186701</v>
      </c>
      <c r="W161" s="4">
        <v>1135787164.0494101</v>
      </c>
      <c r="X161" s="4">
        <v>825354992.31027305</v>
      </c>
      <c r="Y161" s="4">
        <v>716939710.59487998</v>
      </c>
      <c r="Z161" s="4">
        <v>522869616.85592097</v>
      </c>
      <c r="AA161" s="4">
        <v>573504494.77600002</v>
      </c>
      <c r="AB161" s="4">
        <v>548200000</v>
      </c>
      <c r="AC161" s="10" t="s">
        <v>14</v>
      </c>
      <c r="AD161" s="7"/>
    </row>
    <row r="162" spans="1:30" x14ac:dyDescent="0.3">
      <c r="A162" s="2" t="s">
        <v>92</v>
      </c>
      <c r="B162" s="3" t="s">
        <v>93</v>
      </c>
      <c r="C162" s="2" t="s">
        <v>73</v>
      </c>
      <c r="D162" s="2" t="s">
        <v>9</v>
      </c>
      <c r="E162" s="4">
        <v>362.11688232421898</v>
      </c>
      <c r="F162" s="4">
        <v>451.29330444335898</v>
      </c>
      <c r="G162" s="4">
        <v>506.26263427734398</v>
      </c>
      <c r="H162" s="4">
        <v>580.32025146484398</v>
      </c>
      <c r="I162" s="4">
        <v>705.11334228515602</v>
      </c>
      <c r="J162" s="4">
        <v>905.54364013671898</v>
      </c>
      <c r="K162" s="4">
        <v>1132.474609375</v>
      </c>
      <c r="L162" s="4">
        <v>1444.37219238281</v>
      </c>
      <c r="M162" s="4">
        <v>1527.58239746094</v>
      </c>
      <c r="N162" s="4">
        <v>1178.22180175781</v>
      </c>
      <c r="O162" s="4">
        <v>1305.63598632813</v>
      </c>
      <c r="P162" s="4">
        <v>1332.6572265625</v>
      </c>
      <c r="Q162" s="4">
        <v>1019.22210693359</v>
      </c>
      <c r="R162" s="4">
        <v>1138.62780761719</v>
      </c>
      <c r="S162" s="4">
        <v>1275.43835449219</v>
      </c>
      <c r="T162" s="4">
        <v>1292.37963867188</v>
      </c>
      <c r="U162" s="4">
        <v>1033.21594238281</v>
      </c>
      <c r="V162" s="4">
        <v>966.50567626953102</v>
      </c>
      <c r="W162" s="4">
        <v>731.02746582031295</v>
      </c>
      <c r="X162" s="4">
        <v>709.97528076171898</v>
      </c>
      <c r="Y162" s="4">
        <v>577.79522705078102</v>
      </c>
      <c r="Z162" s="4">
        <v>712.12200927734398</v>
      </c>
      <c r="AA162" s="4">
        <v>1046.24084472656</v>
      </c>
      <c r="AB162" s="4">
        <v>797.283447265625</v>
      </c>
      <c r="AC162" s="4">
        <v>984.607666015625</v>
      </c>
      <c r="AD162" s="7"/>
    </row>
    <row r="163" spans="1:30" x14ac:dyDescent="0.3">
      <c r="A163" s="2" t="s">
        <v>92</v>
      </c>
      <c r="B163" s="3" t="s">
        <v>93</v>
      </c>
      <c r="C163" s="2" t="s">
        <v>73</v>
      </c>
      <c r="D163" s="2" t="s">
        <v>10</v>
      </c>
      <c r="E163" s="5">
        <v>3.2</v>
      </c>
      <c r="F163" s="5">
        <v>3.6520000000000001</v>
      </c>
      <c r="G163" s="5">
        <v>3.9319999999999999</v>
      </c>
      <c r="H163" s="5">
        <v>6.3179999999999996</v>
      </c>
      <c r="I163" s="5">
        <v>5.6710000000000003</v>
      </c>
      <c r="J163" s="5">
        <v>4.4390000000000001</v>
      </c>
      <c r="K163" s="5">
        <v>4.069</v>
      </c>
      <c r="L163" s="5">
        <v>2.5310000000000001</v>
      </c>
      <c r="M163" s="5">
        <v>2.5499999999999998</v>
      </c>
      <c r="N163" s="5">
        <v>3.3439999999999999</v>
      </c>
      <c r="O163" s="5">
        <v>3.5</v>
      </c>
      <c r="P163" s="5">
        <v>3.1520000000000001</v>
      </c>
      <c r="Q163" s="5">
        <v>6.1420000000000003</v>
      </c>
      <c r="R163" s="5">
        <v>3.923</v>
      </c>
      <c r="S163" s="5">
        <v>2.5270000000000001</v>
      </c>
      <c r="T163" s="5">
        <v>3.3410000000000002</v>
      </c>
      <c r="U163" s="5">
        <v>2.4950000000000001</v>
      </c>
      <c r="V163" s="5">
        <v>2.58</v>
      </c>
      <c r="W163" s="5">
        <v>3.5129999999999999</v>
      </c>
      <c r="X163" s="5">
        <v>2.552</v>
      </c>
      <c r="Y163" s="5">
        <v>2.6520000000000001</v>
      </c>
      <c r="Z163" s="5">
        <v>1.528</v>
      </c>
      <c r="AA163" s="5">
        <v>1.1100000000000001</v>
      </c>
      <c r="AB163" s="5">
        <v>1.3740000000000001</v>
      </c>
      <c r="AC163" s="10" t="s">
        <v>14</v>
      </c>
      <c r="AD163" s="7"/>
    </row>
    <row r="164" spans="1:30" x14ac:dyDescent="0.3">
      <c r="A164" s="2" t="s">
        <v>92</v>
      </c>
      <c r="B164" s="3" t="s">
        <v>93</v>
      </c>
      <c r="C164" s="2" t="s">
        <v>73</v>
      </c>
      <c r="D164" s="2" t="s">
        <v>11</v>
      </c>
      <c r="E164" s="5">
        <v>6.34586743997545</v>
      </c>
      <c r="F164" s="5">
        <v>6.5003605339688297</v>
      </c>
      <c r="G164" s="5">
        <v>6.0064715363132004</v>
      </c>
      <c r="H164" s="5">
        <v>6.2888081614651599</v>
      </c>
      <c r="I164" s="5">
        <v>5.1408885176267498</v>
      </c>
      <c r="J164" s="5">
        <v>5.6435155134363102</v>
      </c>
      <c r="K164" s="5">
        <v>6.5314117467791997</v>
      </c>
      <c r="L164" s="5">
        <v>5.7352742366448402</v>
      </c>
      <c r="M164" s="5">
        <v>3.8467447312105798</v>
      </c>
      <c r="N164" s="5">
        <v>-2.76770436599138</v>
      </c>
      <c r="O164" s="5">
        <v>3.85824195230107</v>
      </c>
      <c r="P164" s="5">
        <v>-3.2135320925337099</v>
      </c>
      <c r="Q164" s="5">
        <v>-17.004688404894502</v>
      </c>
      <c r="R164" s="5">
        <v>1.9551446330242199</v>
      </c>
      <c r="S164" s="5">
        <v>4.6613795422987296</v>
      </c>
      <c r="T164" s="5">
        <v>1.9101768905275101</v>
      </c>
      <c r="U164" s="5">
        <v>3.4676421840928802</v>
      </c>
      <c r="V164" s="5">
        <v>0.70925628476643998</v>
      </c>
      <c r="W164" s="5">
        <v>-2.6809305497998999</v>
      </c>
      <c r="X164" s="5">
        <v>-2.1782510453009101</v>
      </c>
      <c r="Y164" s="5">
        <v>-3.6298008241075199</v>
      </c>
      <c r="Z164" s="5">
        <v>-1.8685204827207</v>
      </c>
      <c r="AA164" s="5">
        <v>-0.95781659111918305</v>
      </c>
      <c r="AB164" s="5">
        <v>-29.433271832515</v>
      </c>
      <c r="AC164" s="5">
        <v>-13.964337519717899</v>
      </c>
      <c r="AD164" s="7"/>
    </row>
    <row r="165" spans="1:30" x14ac:dyDescent="0.3">
      <c r="A165" s="2" t="s">
        <v>94</v>
      </c>
      <c r="B165" s="3" t="s">
        <v>95</v>
      </c>
      <c r="C165" s="2" t="s">
        <v>73</v>
      </c>
      <c r="D165" s="2" t="s">
        <v>8</v>
      </c>
      <c r="E165" s="4">
        <v>93640</v>
      </c>
      <c r="F165" s="4">
        <v>1145910</v>
      </c>
      <c r="G165" s="4">
        <v>430420</v>
      </c>
      <c r="H165" s="4">
        <v>793243.73456213402</v>
      </c>
      <c r="I165" s="4">
        <v>672560.37863500498</v>
      </c>
      <c r="J165" s="4">
        <v>558865.80003372906</v>
      </c>
      <c r="K165" s="4">
        <v>778420.21387879003</v>
      </c>
      <c r="L165" s="4">
        <v>7691947.2891569398</v>
      </c>
      <c r="M165" s="4">
        <v>4650574.1569067501</v>
      </c>
      <c r="N165" s="4">
        <v>13839598.1677914</v>
      </c>
      <c r="O165" s="4">
        <v>8350406.7221210497</v>
      </c>
      <c r="P165" s="4">
        <v>23118440.5401983</v>
      </c>
      <c r="Q165" s="4">
        <v>10375197.4614674</v>
      </c>
      <c r="R165" s="4">
        <v>4231640</v>
      </c>
      <c r="S165" s="4">
        <v>4684558.6751838103</v>
      </c>
      <c r="T165" s="4">
        <v>4936699.5104448097</v>
      </c>
      <c r="U165" s="4">
        <v>3569823.72997216</v>
      </c>
      <c r="V165" s="4">
        <v>3919473.0250083399</v>
      </c>
      <c r="W165" s="4">
        <v>5672348.12857999</v>
      </c>
      <c r="X165" s="4">
        <v>4300803.9663215</v>
      </c>
      <c r="Y165" s="4">
        <v>3875846.0805885298</v>
      </c>
      <c r="Z165" s="4">
        <v>4024772.1820532</v>
      </c>
      <c r="AA165" s="4">
        <v>4128667.4753899099</v>
      </c>
      <c r="AB165" s="4">
        <v>5352754.8943287302</v>
      </c>
      <c r="AC165" s="4">
        <v>7100000</v>
      </c>
      <c r="AD165" s="7"/>
    </row>
    <row r="166" spans="1:30" x14ac:dyDescent="0.3">
      <c r="A166" s="2" t="s">
        <v>94</v>
      </c>
      <c r="B166" s="3" t="s">
        <v>95</v>
      </c>
      <c r="C166" s="2" t="s">
        <v>73</v>
      </c>
      <c r="D166" s="2" t="s">
        <v>9</v>
      </c>
      <c r="E166" s="4">
        <v>633.30903277624395</v>
      </c>
      <c r="F166" s="4">
        <v>681.16385761996298</v>
      </c>
      <c r="G166" s="4">
        <v>764.61349832542999</v>
      </c>
      <c r="H166" s="4">
        <v>959.69104935481198</v>
      </c>
      <c r="I166" s="4">
        <v>1072.28409029621</v>
      </c>
      <c r="J166" s="4">
        <v>1105.78796866789</v>
      </c>
      <c r="K166" s="4">
        <v>1138.47908404345</v>
      </c>
      <c r="L166" s="4">
        <v>1289.73631056361</v>
      </c>
      <c r="M166" s="4">
        <v>1455.0276859558601</v>
      </c>
      <c r="N166" s="4">
        <v>1410.3051695947299</v>
      </c>
      <c r="O166" s="4">
        <v>1386.5742428453</v>
      </c>
      <c r="P166" s="4">
        <v>1531.4378937295101</v>
      </c>
      <c r="Q166" s="4">
        <v>1490.3151135128101</v>
      </c>
      <c r="R166" s="4">
        <v>1603.3279710730301</v>
      </c>
      <c r="S166" s="4">
        <v>1615.71723662012</v>
      </c>
      <c r="T166" s="4">
        <v>1329.37048235986</v>
      </c>
      <c r="U166" s="4">
        <v>1365.4840344449699</v>
      </c>
      <c r="V166" s="4">
        <v>1423.9248027797</v>
      </c>
      <c r="W166" s="4">
        <v>1527.4052712528501</v>
      </c>
      <c r="X166" s="4">
        <v>1510.23218151592</v>
      </c>
      <c r="Y166" s="4">
        <v>1519.3466555620601</v>
      </c>
      <c r="Z166" s="4">
        <v>1554.9728919015299</v>
      </c>
      <c r="AA166" s="4">
        <v>1465.479642862</v>
      </c>
      <c r="AB166" s="4">
        <v>1560.2737847685501</v>
      </c>
      <c r="AC166" s="4">
        <v>1662.75663312504</v>
      </c>
      <c r="AD166" s="7"/>
    </row>
    <row r="167" spans="1:30" x14ac:dyDescent="0.3">
      <c r="A167" s="2" t="s">
        <v>94</v>
      </c>
      <c r="B167" s="3" t="s">
        <v>95</v>
      </c>
      <c r="C167" s="2" t="s">
        <v>73</v>
      </c>
      <c r="D167" s="2" t="s">
        <v>10</v>
      </c>
      <c r="E167" s="5">
        <v>2.8000000000000001E-2</v>
      </c>
      <c r="F167" s="5">
        <v>0.307</v>
      </c>
      <c r="G167" s="5">
        <v>0.10100000000000001</v>
      </c>
      <c r="H167" s="5">
        <v>0.14499999999999999</v>
      </c>
      <c r="I167" s="5">
        <v>0.108</v>
      </c>
      <c r="J167" s="5">
        <v>8.5000000000000006E-2</v>
      </c>
      <c r="K167" s="5">
        <v>0.113</v>
      </c>
      <c r="L167" s="5">
        <v>0.96699999999999997</v>
      </c>
      <c r="M167" s="5">
        <v>0.50800000000000001</v>
      </c>
      <c r="N167" s="5">
        <v>1.5289999999999999</v>
      </c>
      <c r="O167" s="5">
        <v>0.92</v>
      </c>
      <c r="P167" s="5">
        <v>2.2599999999999998</v>
      </c>
      <c r="Q167" s="5">
        <v>1.0209999999999999</v>
      </c>
      <c r="R167" s="5">
        <v>0.379</v>
      </c>
      <c r="S167" s="5">
        <v>0.40699999999999997</v>
      </c>
      <c r="T167" s="5">
        <v>0.51100000000000001</v>
      </c>
      <c r="U167" s="5">
        <v>0.35199999999999998</v>
      </c>
      <c r="V167" s="5">
        <v>0.36399999999999999</v>
      </c>
      <c r="W167" s="5">
        <v>0.48099999999999998</v>
      </c>
      <c r="X167" s="5">
        <v>0.36199999999999999</v>
      </c>
      <c r="Y167" s="5">
        <v>0.318</v>
      </c>
      <c r="Z167" s="5">
        <v>0.316</v>
      </c>
      <c r="AA167" s="5">
        <v>0.33800000000000002</v>
      </c>
      <c r="AB167" s="5">
        <v>0.40300000000000002</v>
      </c>
      <c r="AC167" s="5">
        <v>0.49299999999999999</v>
      </c>
      <c r="AD167" s="7"/>
    </row>
    <row r="168" spans="1:30" x14ac:dyDescent="0.3">
      <c r="A168" s="2" t="s">
        <v>94</v>
      </c>
      <c r="B168" s="3" t="s">
        <v>95</v>
      </c>
      <c r="C168" s="2" t="s">
        <v>73</v>
      </c>
      <c r="D168" s="2" t="s">
        <v>11</v>
      </c>
      <c r="E168" s="5">
        <v>-1.00701887109655</v>
      </c>
      <c r="F168" s="5">
        <v>5.4195997180874098</v>
      </c>
      <c r="G168" s="5">
        <v>4.5976826326324298</v>
      </c>
      <c r="H168" s="5">
        <v>1.93442812313498</v>
      </c>
      <c r="I168" s="5">
        <v>3.10041210399676</v>
      </c>
      <c r="J168" s="5">
        <v>5.6652024019315101</v>
      </c>
      <c r="K168" s="5">
        <v>-1.7544467944939399</v>
      </c>
      <c r="L168" s="5">
        <v>0.80359978824775202</v>
      </c>
      <c r="M168" s="5">
        <v>3.9646111887181501</v>
      </c>
      <c r="N168" s="5">
        <v>3.24060198483925</v>
      </c>
      <c r="O168" s="5">
        <v>3.7778807074311702</v>
      </c>
      <c r="P168" s="5">
        <v>4.1435647921145504</v>
      </c>
      <c r="Q168" s="5">
        <v>3.1683562755969099</v>
      </c>
      <c r="R168" s="5">
        <v>4.4661636979028003</v>
      </c>
      <c r="S168" s="5">
        <v>2.1066692056095802</v>
      </c>
      <c r="T168" s="5">
        <v>1.1474739939719301</v>
      </c>
      <c r="U168" s="5">
        <v>3.32039987961315</v>
      </c>
      <c r="V168" s="5">
        <v>3.8157021128072599</v>
      </c>
      <c r="W168" s="5">
        <v>3.6425958740839799</v>
      </c>
      <c r="X168" s="5">
        <v>1.76070164655727</v>
      </c>
      <c r="Y168" s="5">
        <v>-0.19557745682196501</v>
      </c>
      <c r="Z168" s="5">
        <v>2.0001921183448998</v>
      </c>
      <c r="AA168" s="5">
        <v>2.6030103192784302</v>
      </c>
      <c r="AB168" s="5">
        <v>2.9952156403813599</v>
      </c>
      <c r="AC168" s="5">
        <v>3.3381010943570999</v>
      </c>
      <c r="AD168" s="7"/>
    </row>
    <row r="169" spans="1:30" x14ac:dyDescent="0.3">
      <c r="A169" s="2" t="s">
        <v>96</v>
      </c>
      <c r="B169" s="3" t="s">
        <v>97</v>
      </c>
      <c r="C169" s="2" t="s">
        <v>73</v>
      </c>
      <c r="D169" s="2" t="s">
        <v>8</v>
      </c>
      <c r="E169" s="4">
        <v>82952580.7054988</v>
      </c>
      <c r="F169" s="4">
        <v>93059223.999999702</v>
      </c>
      <c r="G169" s="4">
        <v>14661798.0720596</v>
      </c>
      <c r="H169" s="4">
        <v>12874087</v>
      </c>
      <c r="I169" s="4">
        <v>52910748</v>
      </c>
      <c r="J169" s="4">
        <v>85428623.902193099</v>
      </c>
      <c r="K169" s="4">
        <v>294681941.54268199</v>
      </c>
      <c r="L169" s="4">
        <v>789389724.08449697</v>
      </c>
      <c r="M169" s="4">
        <v>1134497642.4209001</v>
      </c>
      <c r="N169" s="4">
        <v>1293330142.2609401</v>
      </c>
      <c r="O169" s="4">
        <v>912287179.83556795</v>
      </c>
      <c r="P169" s="4">
        <v>815534454.53206205</v>
      </c>
      <c r="Q169" s="4">
        <v>814789934.73020005</v>
      </c>
      <c r="R169" s="4">
        <v>565848886.01427603</v>
      </c>
      <c r="S169" s="4">
        <v>372872463.26277602</v>
      </c>
      <c r="T169" s="4">
        <v>328059305.56931901</v>
      </c>
      <c r="U169" s="4">
        <v>540842779.82933295</v>
      </c>
      <c r="V169" s="4">
        <v>464856589.648808</v>
      </c>
      <c r="W169" s="4">
        <v>612036371.42212105</v>
      </c>
      <c r="X169" s="4">
        <v>474311425.43243599</v>
      </c>
      <c r="Y169" s="4">
        <v>358467141.41430098</v>
      </c>
      <c r="Z169" s="4">
        <v>357536665.26470298</v>
      </c>
      <c r="AA169" s="4">
        <v>467848664.23550099</v>
      </c>
      <c r="AB169" s="4">
        <v>519515232.45164502</v>
      </c>
      <c r="AC169" s="4">
        <v>606208749.39367104</v>
      </c>
      <c r="AD169" s="7"/>
    </row>
    <row r="170" spans="1:30" x14ac:dyDescent="0.3">
      <c r="A170" s="2" t="s">
        <v>96</v>
      </c>
      <c r="B170" s="3" t="s">
        <v>97</v>
      </c>
      <c r="C170" s="2" t="s">
        <v>73</v>
      </c>
      <c r="D170" s="2" t="s">
        <v>9</v>
      </c>
      <c r="E170" s="4">
        <v>280.28290555964901</v>
      </c>
      <c r="F170" s="4">
        <v>319.28327823565797</v>
      </c>
      <c r="G170" s="4">
        <v>304.94177739844503</v>
      </c>
      <c r="H170" s="4">
        <v>352.62009584992501</v>
      </c>
      <c r="I170" s="4">
        <v>272.20074858855997</v>
      </c>
      <c r="J170" s="4">
        <v>305.81207492438801</v>
      </c>
      <c r="K170" s="4">
        <v>324.14687488260398</v>
      </c>
      <c r="L170" s="4">
        <v>419.54800143186498</v>
      </c>
      <c r="M170" s="4">
        <v>512.57980005844399</v>
      </c>
      <c r="N170" s="4">
        <v>446.315238370592</v>
      </c>
      <c r="O170" s="4">
        <v>450.009391645726</v>
      </c>
      <c r="P170" s="4">
        <v>506.16369155930897</v>
      </c>
      <c r="Q170" s="4">
        <v>493.51116290421101</v>
      </c>
      <c r="R170" s="4">
        <v>515.30158936183204</v>
      </c>
      <c r="S170" s="4">
        <v>505.68492250343502</v>
      </c>
      <c r="T170" s="4">
        <v>445.32006948056801</v>
      </c>
      <c r="U170" s="4">
        <v>453.97071452246303</v>
      </c>
      <c r="V170" s="4">
        <v>491.86684871892902</v>
      </c>
      <c r="W170" s="4">
        <v>500.45718552915997</v>
      </c>
      <c r="X170" s="4">
        <v>499.81883762253398</v>
      </c>
      <c r="Y170" s="4">
        <v>450.77161520150997</v>
      </c>
      <c r="Z170" s="4">
        <v>483.46946335119497</v>
      </c>
      <c r="AA170" s="4">
        <v>503.51453347296001</v>
      </c>
      <c r="AB170" s="4">
        <v>508.71842770559101</v>
      </c>
      <c r="AC170" s="4">
        <v>544.98750100338395</v>
      </c>
      <c r="AD170" s="7"/>
    </row>
    <row r="171" spans="1:30" x14ac:dyDescent="0.3">
      <c r="A171" s="2" t="s">
        <v>96</v>
      </c>
      <c r="B171" s="3" t="s">
        <v>97</v>
      </c>
      <c r="C171" s="2" t="s">
        <v>73</v>
      </c>
      <c r="D171" s="2" t="s">
        <v>10</v>
      </c>
      <c r="E171" s="5">
        <v>1.792</v>
      </c>
      <c r="F171" s="5">
        <v>1.7110000000000001</v>
      </c>
      <c r="G171" s="5">
        <v>0.27400000000000002</v>
      </c>
      <c r="H171" s="5">
        <v>0.20200000000000001</v>
      </c>
      <c r="I171" s="5">
        <v>1.0449999999999999</v>
      </c>
      <c r="J171" s="5">
        <v>1.458</v>
      </c>
      <c r="K171" s="5">
        <v>4.6070000000000002</v>
      </c>
      <c r="L171" s="5">
        <v>9.26</v>
      </c>
      <c r="M171" s="5">
        <v>10.577999999999999</v>
      </c>
      <c r="N171" s="5">
        <v>13.449</v>
      </c>
      <c r="O171" s="5">
        <v>9.1389999999999993</v>
      </c>
      <c r="P171" s="5">
        <v>7.06</v>
      </c>
      <c r="Q171" s="5">
        <v>7.0369999999999999</v>
      </c>
      <c r="R171" s="5">
        <v>4.5549999999999997</v>
      </c>
      <c r="S171" s="5">
        <v>2.9780000000000002</v>
      </c>
      <c r="T171" s="5">
        <v>2.8969999999999998</v>
      </c>
      <c r="U171" s="5">
        <v>4.5650000000000004</v>
      </c>
      <c r="V171" s="5">
        <v>3.528</v>
      </c>
      <c r="W171" s="5">
        <v>4.4480000000000004</v>
      </c>
      <c r="X171" s="5">
        <v>3.363</v>
      </c>
      <c r="Y171" s="5">
        <v>2.7469999999999999</v>
      </c>
      <c r="Z171" s="5">
        <v>2.4910000000000001</v>
      </c>
      <c r="AA171" s="5">
        <v>3.0529999999999999</v>
      </c>
      <c r="AB171" s="5">
        <v>3.274</v>
      </c>
      <c r="AC171" s="5">
        <v>3.48</v>
      </c>
      <c r="AD171" s="7"/>
    </row>
    <row r="172" spans="1:30" x14ac:dyDescent="0.3">
      <c r="A172" s="2" t="s">
        <v>96</v>
      </c>
      <c r="B172" s="3" t="s">
        <v>97</v>
      </c>
      <c r="C172" s="2" t="s">
        <v>73</v>
      </c>
      <c r="D172" s="2" t="s">
        <v>11</v>
      </c>
      <c r="E172" s="5">
        <v>4.45685893956946</v>
      </c>
      <c r="F172" s="5">
        <v>5.9802357698273303</v>
      </c>
      <c r="G172" s="5">
        <v>-12.4079711055149</v>
      </c>
      <c r="H172" s="5">
        <v>9.7848921247417504</v>
      </c>
      <c r="I172" s="5">
        <v>5.2570036220874199</v>
      </c>
      <c r="J172" s="5">
        <v>4.7558450949911899</v>
      </c>
      <c r="K172" s="5">
        <v>5.3985084485368002</v>
      </c>
      <c r="L172" s="5">
        <v>5.7105641988505198</v>
      </c>
      <c r="M172" s="5">
        <v>6.7126325391300101</v>
      </c>
      <c r="N172" s="5">
        <v>-3.9787086116544002</v>
      </c>
      <c r="O172" s="5">
        <v>0.61923974462212095</v>
      </c>
      <c r="P172" s="5">
        <v>1.57842705366555</v>
      </c>
      <c r="Q172" s="5">
        <v>3.0111481162120799</v>
      </c>
      <c r="R172" s="5">
        <v>2.3003762280072699</v>
      </c>
      <c r="S172" s="5">
        <v>3.3392031119536698</v>
      </c>
      <c r="T172" s="5">
        <v>3.13229807490305</v>
      </c>
      <c r="U172" s="5">
        <v>3.9931460619949899</v>
      </c>
      <c r="V172" s="5">
        <v>3.9333075946279301</v>
      </c>
      <c r="W172" s="5">
        <v>3.1943565174439801</v>
      </c>
      <c r="X172" s="5">
        <v>4.4112321290958896</v>
      </c>
      <c r="Y172" s="5">
        <v>-7.1376716206449</v>
      </c>
      <c r="Z172" s="5">
        <v>4.6506834317430901</v>
      </c>
      <c r="AA172" s="5">
        <v>4.1560977838629602</v>
      </c>
      <c r="AB172" s="5">
        <v>4.2030461584066803</v>
      </c>
      <c r="AC172" s="5">
        <v>4.1999999998864697</v>
      </c>
      <c r="AD172" s="7"/>
    </row>
    <row r="173" spans="1:30" x14ac:dyDescent="0.3">
      <c r="A173" s="2" t="s">
        <v>98</v>
      </c>
      <c r="B173" s="3" t="s">
        <v>99</v>
      </c>
      <c r="C173" s="2" t="s">
        <v>73</v>
      </c>
      <c r="D173" s="2" t="s">
        <v>8</v>
      </c>
      <c r="E173" s="4">
        <v>25999996.361222502</v>
      </c>
      <c r="F173" s="4">
        <v>19299991.0892369</v>
      </c>
      <c r="G173" s="4">
        <v>5899999.3588624103</v>
      </c>
      <c r="H173" s="4">
        <v>65885630.022228204</v>
      </c>
      <c r="I173" s="4">
        <v>107811374.01291899</v>
      </c>
      <c r="J173" s="4">
        <v>139696402.63468999</v>
      </c>
      <c r="K173" s="4">
        <v>35561803.981251702</v>
      </c>
      <c r="L173" s="4">
        <v>124388649.054177</v>
      </c>
      <c r="M173" s="4">
        <v>195425887.191773</v>
      </c>
      <c r="N173" s="4">
        <v>49130371.225841597</v>
      </c>
      <c r="O173" s="4">
        <v>429941790</v>
      </c>
      <c r="P173" s="4">
        <v>433331010</v>
      </c>
      <c r="Q173" s="4">
        <v>589018300</v>
      </c>
      <c r="R173" s="4">
        <v>293369160</v>
      </c>
      <c r="S173" s="4">
        <v>455562150</v>
      </c>
      <c r="T173" s="4">
        <v>216455190</v>
      </c>
      <c r="U173" s="4">
        <v>378764430</v>
      </c>
      <c r="V173" s="4">
        <v>479995890</v>
      </c>
      <c r="W173" s="4">
        <v>460511370</v>
      </c>
      <c r="X173" s="4">
        <v>444077760</v>
      </c>
      <c r="Y173" s="4">
        <v>224668080</v>
      </c>
      <c r="Z173" s="4">
        <v>260543730</v>
      </c>
      <c r="AA173" s="4">
        <v>545909420</v>
      </c>
      <c r="AB173" s="4">
        <v>759847580</v>
      </c>
      <c r="AC173" s="4">
        <v>681276230</v>
      </c>
      <c r="AD173" s="7"/>
    </row>
    <row r="174" spans="1:30" x14ac:dyDescent="0.3">
      <c r="A174" s="2" t="s">
        <v>98</v>
      </c>
      <c r="B174" s="3" t="s">
        <v>99</v>
      </c>
      <c r="C174" s="2" t="s">
        <v>73</v>
      </c>
      <c r="D174" s="2" t="s">
        <v>9</v>
      </c>
      <c r="E174" s="4">
        <v>224.22415918428001</v>
      </c>
      <c r="F174" s="4">
        <v>215.474524898357</v>
      </c>
      <c r="G174" s="4">
        <v>428.21043983839797</v>
      </c>
      <c r="H174" s="4">
        <v>383.348596852642</v>
      </c>
      <c r="I174" s="4">
        <v>404.67424844542802</v>
      </c>
      <c r="J174" s="4">
        <v>414.36112198447501</v>
      </c>
      <c r="K174" s="4">
        <v>440.82214902387301</v>
      </c>
      <c r="L174" s="4">
        <v>475.18026165933099</v>
      </c>
      <c r="M174" s="4">
        <v>554.04882039611903</v>
      </c>
      <c r="N174" s="4">
        <v>625.86972986962496</v>
      </c>
      <c r="O174" s="4">
        <v>683.12469471680004</v>
      </c>
      <c r="P174" s="4">
        <v>763.06100039457203</v>
      </c>
      <c r="Q174" s="4">
        <v>558.46208832772004</v>
      </c>
      <c r="R174" s="4">
        <v>496.94736826731298</v>
      </c>
      <c r="S174" s="4">
        <v>529.51334402060002</v>
      </c>
      <c r="T174" s="4">
        <v>539.60536324068596</v>
      </c>
      <c r="U174" s="4">
        <v>450.50610551071901</v>
      </c>
      <c r="V174" s="4">
        <v>495.76968336716499</v>
      </c>
      <c r="W174" s="4">
        <v>533.20256718933103</v>
      </c>
      <c r="X174" s="4">
        <v>580.88913976247602</v>
      </c>
      <c r="Y174" s="4">
        <v>602.50747817610602</v>
      </c>
      <c r="Z174" s="4">
        <v>617.44699445100696</v>
      </c>
      <c r="AA174" s="4">
        <v>604.26974036031697</v>
      </c>
      <c r="AB174" s="4">
        <v>633.21476797869502</v>
      </c>
      <c r="AC174" s="4">
        <v>522.57039364254695</v>
      </c>
      <c r="AD174" s="7"/>
    </row>
    <row r="175" spans="1:30" x14ac:dyDescent="0.3">
      <c r="A175" s="2" t="s">
        <v>98</v>
      </c>
      <c r="B175" s="3" t="s">
        <v>99</v>
      </c>
      <c r="C175" s="2" t="s">
        <v>73</v>
      </c>
      <c r="D175" s="2" t="s">
        <v>10</v>
      </c>
      <c r="E175" s="5">
        <v>1.0249999999999999</v>
      </c>
      <c r="F175" s="5">
        <v>0.77300000000000002</v>
      </c>
      <c r="G175" s="5">
        <v>0.11600000000000001</v>
      </c>
      <c r="H175" s="5">
        <v>1.411</v>
      </c>
      <c r="I175" s="5">
        <v>2.1309999999999998</v>
      </c>
      <c r="J175" s="5">
        <v>2.6259999999999999</v>
      </c>
      <c r="K175" s="5">
        <v>0.61099999999999999</v>
      </c>
      <c r="L175" s="5">
        <v>1.9279999999999999</v>
      </c>
      <c r="M175" s="5">
        <v>2.524</v>
      </c>
      <c r="N175" s="5">
        <v>0.54500000000000004</v>
      </c>
      <c r="O175" s="5">
        <v>4.2450000000000001</v>
      </c>
      <c r="P175" s="5">
        <v>3.72</v>
      </c>
      <c r="Q175" s="5">
        <v>6.7140000000000004</v>
      </c>
      <c r="R175" s="5">
        <v>3.653</v>
      </c>
      <c r="S175" s="5">
        <v>5.1760000000000002</v>
      </c>
      <c r="T175" s="5">
        <v>2.3479999999999999</v>
      </c>
      <c r="U175" s="5">
        <v>4.7889999999999997</v>
      </c>
      <c r="V175" s="5">
        <v>5.367</v>
      </c>
      <c r="W175" s="5">
        <v>4.6609999999999996</v>
      </c>
      <c r="X175" s="5">
        <v>4.0179999999999998</v>
      </c>
      <c r="Y175" s="5">
        <v>1.909</v>
      </c>
      <c r="Z175" s="5">
        <v>2.105</v>
      </c>
      <c r="AA175" s="5">
        <v>4.3920000000000003</v>
      </c>
      <c r="AB175" s="5">
        <v>5.6859999999999999</v>
      </c>
      <c r="AC175" s="5">
        <v>6.02</v>
      </c>
      <c r="AD175" s="7"/>
    </row>
    <row r="176" spans="1:30" x14ac:dyDescent="0.3">
      <c r="A176" s="2" t="s">
        <v>98</v>
      </c>
      <c r="B176" s="3" t="s">
        <v>99</v>
      </c>
      <c r="C176" s="2" t="s">
        <v>73</v>
      </c>
      <c r="D176" s="2" t="s">
        <v>11</v>
      </c>
      <c r="E176" s="5">
        <v>1.57607762616895</v>
      </c>
      <c r="F176" s="5">
        <v>-4.9749636189247601</v>
      </c>
      <c r="G176" s="5">
        <v>1.70000003078317</v>
      </c>
      <c r="H176" s="5">
        <v>5.7056394046741499</v>
      </c>
      <c r="I176" s="5">
        <v>5.4204975499382799</v>
      </c>
      <c r="J176" s="5">
        <v>3.2687260231706601</v>
      </c>
      <c r="K176" s="5">
        <v>4.6999997640469102</v>
      </c>
      <c r="L176" s="5">
        <v>9.5999998768346906</v>
      </c>
      <c r="M176" s="5">
        <v>7.6397363994459102</v>
      </c>
      <c r="N176" s="5">
        <v>8.3281098524038004</v>
      </c>
      <c r="O176" s="5">
        <v>6.8740658541614197</v>
      </c>
      <c r="P176" s="5">
        <v>4.9326699981372899</v>
      </c>
      <c r="Q176" s="5">
        <v>1.90000000072909</v>
      </c>
      <c r="R176" s="5">
        <v>5.4103499981716698</v>
      </c>
      <c r="S176" s="5">
        <v>5.6252700010513896</v>
      </c>
      <c r="T176" s="5">
        <v>2.8000000000335499</v>
      </c>
      <c r="U176" s="5">
        <v>2.4999999991431099</v>
      </c>
      <c r="V176" s="5">
        <v>4.0000000008917196</v>
      </c>
      <c r="W176" s="5">
        <v>4.3535647161921096</v>
      </c>
      <c r="X176" s="5">
        <v>5.7168251919433697</v>
      </c>
      <c r="Y176" s="5">
        <v>0.79359642978728595</v>
      </c>
      <c r="Z176" s="5">
        <v>4.5582921201608304</v>
      </c>
      <c r="AA176" s="5">
        <v>0.92111506900593598</v>
      </c>
      <c r="AB176" s="5">
        <v>1.9457528167598399</v>
      </c>
      <c r="AC176" s="5">
        <v>1.6734340852915</v>
      </c>
      <c r="AD176" s="7"/>
    </row>
    <row r="177" spans="1:30" x14ac:dyDescent="0.3">
      <c r="A177" s="2" t="s">
        <v>100</v>
      </c>
      <c r="B177" s="3" t="s">
        <v>101</v>
      </c>
      <c r="C177" s="2" t="s">
        <v>73</v>
      </c>
      <c r="D177" s="2" t="s">
        <v>8</v>
      </c>
      <c r="E177" s="4">
        <v>265641239.44118401</v>
      </c>
      <c r="F177" s="4">
        <v>-27675565.713683799</v>
      </c>
      <c r="G177" s="4">
        <v>32073116.084795401</v>
      </c>
      <c r="H177" s="4">
        <v>62630665.276514001</v>
      </c>
      <c r="I177" s="4">
        <v>13894736.404987101</v>
      </c>
      <c r="J177" s="4">
        <v>41776995.778691098</v>
      </c>
      <c r="K177" s="4">
        <v>106758059.10891899</v>
      </c>
      <c r="L177" s="4">
        <v>340763853.71808797</v>
      </c>
      <c r="M177" s="4">
        <v>377724738.06253999</v>
      </c>
      <c r="N177" s="4">
        <v>256680711.82091501</v>
      </c>
      <c r="O177" s="4">
        <v>429941790</v>
      </c>
      <c r="P177" s="4">
        <v>433331010</v>
      </c>
      <c r="Q177" s="4">
        <v>589018300</v>
      </c>
      <c r="R177" s="4">
        <v>293369160</v>
      </c>
      <c r="S177" s="4">
        <v>455562150</v>
      </c>
      <c r="T177" s="4">
        <v>216455190</v>
      </c>
      <c r="U177" s="4">
        <v>378764430</v>
      </c>
      <c r="V177" s="4">
        <v>479995890</v>
      </c>
      <c r="W177" s="4">
        <v>460511370</v>
      </c>
      <c r="X177" s="4">
        <v>444077760</v>
      </c>
      <c r="Y177" s="4">
        <v>224668080</v>
      </c>
      <c r="Z177" s="4">
        <v>260543730</v>
      </c>
      <c r="AA177" s="4">
        <v>545909420</v>
      </c>
      <c r="AB177" s="4">
        <v>759847580</v>
      </c>
      <c r="AC177" s="4">
        <v>681276230</v>
      </c>
      <c r="AD177" s="7"/>
    </row>
    <row r="178" spans="1:30" x14ac:dyDescent="0.3">
      <c r="A178" s="2" t="s">
        <v>100</v>
      </c>
      <c r="B178" s="3" t="s">
        <v>101</v>
      </c>
      <c r="C178" s="2" t="s">
        <v>73</v>
      </c>
      <c r="D178" s="2" t="s">
        <v>9</v>
      </c>
      <c r="E178" s="4">
        <v>3981.9834324958201</v>
      </c>
      <c r="F178" s="4">
        <v>3908.5569492743498</v>
      </c>
      <c r="G178" s="4">
        <v>4073.0605305590302</v>
      </c>
      <c r="H178" s="4">
        <v>4858.2657554974703</v>
      </c>
      <c r="I178" s="4">
        <v>5460.6080018419798</v>
      </c>
      <c r="J178" s="4">
        <v>5354.0297426064199</v>
      </c>
      <c r="K178" s="4">
        <v>5784.2249188302703</v>
      </c>
      <c r="L178" s="4">
        <v>6677.3496244860798</v>
      </c>
      <c r="M178" s="4">
        <v>8140.5080859589498</v>
      </c>
      <c r="N178" s="4">
        <v>7426.8864561759301</v>
      </c>
      <c r="O178" s="4">
        <v>8113.17670740212</v>
      </c>
      <c r="P178" s="4">
        <v>9324.2423231049597</v>
      </c>
      <c r="Q178" s="4">
        <v>9421.5251409822504</v>
      </c>
      <c r="R178" s="4">
        <v>9877.1386595883396</v>
      </c>
      <c r="S178" s="4">
        <v>10490.331556385299</v>
      </c>
      <c r="T178" s="4">
        <v>9630.5437837506997</v>
      </c>
      <c r="U178" s="4">
        <v>10095.1225574156</v>
      </c>
      <c r="V178" s="4">
        <v>10986.7034093005</v>
      </c>
      <c r="W178" s="4">
        <v>11818.748061927199</v>
      </c>
      <c r="X178" s="4">
        <v>11568.253339982401</v>
      </c>
      <c r="Y178" s="4">
        <v>9135.8477375106195</v>
      </c>
      <c r="Z178" s="4">
        <v>9177.7119597301298</v>
      </c>
      <c r="AA178" s="4">
        <v>10246.501745555301</v>
      </c>
      <c r="AB178" s="4">
        <v>11269.968446213899</v>
      </c>
      <c r="AC178" s="4">
        <v>11990.7798944837</v>
      </c>
      <c r="AD178" s="7"/>
    </row>
    <row r="179" spans="1:30" x14ac:dyDescent="0.3">
      <c r="A179" s="2" t="s">
        <v>100</v>
      </c>
      <c r="B179" s="3" t="s">
        <v>101</v>
      </c>
      <c r="C179" s="2" t="s">
        <v>73</v>
      </c>
      <c r="D179" s="2" t="s">
        <v>10</v>
      </c>
      <c r="E179" s="5">
        <v>5.6210000000000004</v>
      </c>
      <c r="F179" s="5">
        <v>-0.59199999999999997</v>
      </c>
      <c r="G179" s="5">
        <v>0.65400000000000003</v>
      </c>
      <c r="H179" s="5">
        <v>1.0620000000000001</v>
      </c>
      <c r="I179" s="5">
        <v>0.20799999999999999</v>
      </c>
      <c r="J179" s="5">
        <v>0.63500000000000001</v>
      </c>
      <c r="K179" s="5">
        <v>1.496</v>
      </c>
      <c r="L179" s="5">
        <v>4.117</v>
      </c>
      <c r="M179" s="5">
        <v>3.73</v>
      </c>
      <c r="N179" s="5">
        <v>2.7709999999999999</v>
      </c>
      <c r="O179" s="5">
        <v>4.2380000000000004</v>
      </c>
      <c r="P179" s="5">
        <v>3.7109999999999999</v>
      </c>
      <c r="Q179" s="5">
        <v>4.9779999999999998</v>
      </c>
      <c r="R179" s="5">
        <v>2.359</v>
      </c>
      <c r="S179" s="5">
        <v>3.4430000000000001</v>
      </c>
      <c r="T179" s="5">
        <v>1.78</v>
      </c>
      <c r="U179" s="5">
        <v>2.9689999999999999</v>
      </c>
      <c r="V179" s="5">
        <v>3.4540000000000002</v>
      </c>
      <c r="W179" s="5">
        <v>3.0790000000000002</v>
      </c>
      <c r="X179" s="5">
        <v>3.032</v>
      </c>
      <c r="Y179" s="5">
        <v>1.9419999999999999</v>
      </c>
      <c r="Z179" s="5">
        <v>2.242</v>
      </c>
      <c r="AA179" s="5">
        <v>4.22</v>
      </c>
      <c r="AB179" s="5">
        <v>5.4</v>
      </c>
      <c r="AC179" s="5">
        <v>4.5609999999999999</v>
      </c>
      <c r="AD179" s="7"/>
    </row>
    <row r="180" spans="1:30" x14ac:dyDescent="0.3">
      <c r="A180" s="2" t="s">
        <v>100</v>
      </c>
      <c r="B180" s="3" t="s">
        <v>101</v>
      </c>
      <c r="C180" s="2" t="s">
        <v>73</v>
      </c>
      <c r="D180" s="2" t="s">
        <v>11</v>
      </c>
      <c r="E180" s="5">
        <v>8.2027917486527304</v>
      </c>
      <c r="F180" s="5">
        <v>3.3475407273140698</v>
      </c>
      <c r="G180" s="5">
        <v>1.61491865862433</v>
      </c>
      <c r="H180" s="5">
        <v>5.9254454894773101</v>
      </c>
      <c r="I180" s="5">
        <v>4.3300198546435702</v>
      </c>
      <c r="J180" s="5">
        <v>1.7775430203445399</v>
      </c>
      <c r="K180" s="5">
        <v>4.8655446077553002</v>
      </c>
      <c r="L180" s="5">
        <v>5.7270161598166904</v>
      </c>
      <c r="M180" s="5">
        <v>5.38696254207251</v>
      </c>
      <c r="N180" s="5">
        <v>3.3150769979078101</v>
      </c>
      <c r="O180" s="5">
        <v>4.3772032234429297</v>
      </c>
      <c r="P180" s="5">
        <v>4.0775380661033296</v>
      </c>
      <c r="Q180" s="5">
        <v>3.4961183647086602</v>
      </c>
      <c r="R180" s="5">
        <v>3.3604060997413301</v>
      </c>
      <c r="S180" s="5">
        <v>3.8269698200933702</v>
      </c>
      <c r="T180" s="5">
        <v>3.69055690369433</v>
      </c>
      <c r="U180" s="5">
        <v>3.8624682633999998</v>
      </c>
      <c r="V180" s="5">
        <v>3.9379838063235302</v>
      </c>
      <c r="W180" s="5">
        <v>4.0067405719854898</v>
      </c>
      <c r="X180" s="5">
        <v>2.8912849934651601</v>
      </c>
      <c r="Y180" s="5">
        <v>-14.5465381490166</v>
      </c>
      <c r="Z180" s="5">
        <v>3.4037986617766198</v>
      </c>
      <c r="AA180" s="5">
        <v>8.6930667526406609</v>
      </c>
      <c r="AB180" s="5">
        <v>5.0079190086813101</v>
      </c>
      <c r="AC180" s="5">
        <v>4.9251230486429503</v>
      </c>
      <c r="AD180" s="7"/>
    </row>
    <row r="181" spans="1:30" x14ac:dyDescent="0.3">
      <c r="A181" s="2" t="s">
        <v>102</v>
      </c>
      <c r="B181" s="3" t="s">
        <v>103</v>
      </c>
      <c r="C181" s="2" t="s">
        <v>73</v>
      </c>
      <c r="D181" s="2" t="s">
        <v>8</v>
      </c>
      <c r="E181" s="4">
        <v>24326996.8409907</v>
      </c>
      <c r="F181" s="4">
        <v>64740256.506924801</v>
      </c>
      <c r="G181" s="4">
        <v>47717748.067225903</v>
      </c>
      <c r="H181" s="4">
        <v>58425540.726385102</v>
      </c>
      <c r="I181" s="4">
        <v>38014852.100000001</v>
      </c>
      <c r="J181" s="4">
        <v>80729739.090909094</v>
      </c>
      <c r="K181" s="4">
        <v>140555693.46697301</v>
      </c>
      <c r="L181" s="4">
        <v>175923646.50983399</v>
      </c>
      <c r="M181" s="4">
        <v>179825444.152504</v>
      </c>
      <c r="N181" s="4">
        <v>168251661.93552199</v>
      </c>
      <c r="O181" s="4">
        <v>159795374.99999899</v>
      </c>
      <c r="P181" s="4">
        <v>143240665.10345399</v>
      </c>
      <c r="Q181" s="4">
        <v>613208776.273067</v>
      </c>
      <c r="R181" s="4">
        <v>57289065.622998998</v>
      </c>
      <c r="S181" s="4">
        <v>108355443.10197</v>
      </c>
      <c r="T181" s="4">
        <v>105893597.20331401</v>
      </c>
      <c r="U181" s="4">
        <v>68346743.928173304</v>
      </c>
      <c r="V181" s="4">
        <v>197311244.14602</v>
      </c>
      <c r="W181" s="4">
        <v>305172393.79133201</v>
      </c>
      <c r="X181" s="4">
        <v>257086351.80439201</v>
      </c>
      <c r="Y181" s="4">
        <v>80053481.405823305</v>
      </c>
      <c r="Z181" s="4">
        <v>111955764.37421601</v>
      </c>
      <c r="AA181" s="4">
        <v>189827389.279515</v>
      </c>
      <c r="AB181" s="4">
        <v>239706294.201897</v>
      </c>
      <c r="AC181" s="4">
        <v>226134114.454496</v>
      </c>
      <c r="AD181" s="7"/>
    </row>
    <row r="182" spans="1:30" x14ac:dyDescent="0.3">
      <c r="A182" s="2" t="s">
        <v>102</v>
      </c>
      <c r="B182" s="3" t="s">
        <v>103</v>
      </c>
      <c r="C182" s="2" t="s">
        <v>73</v>
      </c>
      <c r="D182" s="2" t="s">
        <v>9</v>
      </c>
      <c r="E182" s="4">
        <v>8063.6550057516897</v>
      </c>
      <c r="F182" s="4">
        <v>8153.2986369879</v>
      </c>
      <c r="G182" s="4">
        <v>8864.1691949546803</v>
      </c>
      <c r="H182" s="4">
        <v>9070.2846075701309</v>
      </c>
      <c r="I182" s="4">
        <v>10827.671636032999</v>
      </c>
      <c r="J182" s="4">
        <v>11802.1118276833</v>
      </c>
      <c r="K182" s="4">
        <v>12782.993892647501</v>
      </c>
      <c r="L182" s="4">
        <v>12669.302668722201</v>
      </c>
      <c r="M182" s="4">
        <v>11265.4376270005</v>
      </c>
      <c r="N182" s="4">
        <v>9747.0918054629092</v>
      </c>
      <c r="O182" s="4">
        <v>10934.79494629</v>
      </c>
      <c r="P182" s="4">
        <v>12110.093746197301</v>
      </c>
      <c r="Q182" s="4">
        <v>12337.155466938801</v>
      </c>
      <c r="R182" s="4">
        <v>14821.292147607701</v>
      </c>
      <c r="S182" s="4">
        <v>15188.190217511299</v>
      </c>
      <c r="T182" s="4">
        <v>15333.1051727105</v>
      </c>
      <c r="U182" s="4">
        <v>16566.9946042294</v>
      </c>
      <c r="V182" s="4">
        <v>17480.3651911372</v>
      </c>
      <c r="W182" s="4">
        <v>18440.234046093199</v>
      </c>
      <c r="X182" s="4">
        <v>19141.511874361498</v>
      </c>
      <c r="Y182" s="4">
        <v>14041.475407457499</v>
      </c>
      <c r="Z182" s="4">
        <v>14982.9111487767</v>
      </c>
      <c r="AA182" s="4">
        <v>16836.672189538702</v>
      </c>
      <c r="AB182" s="4">
        <v>18262.7115849287</v>
      </c>
      <c r="AC182" s="4">
        <v>17858.8226383978</v>
      </c>
      <c r="AD182" s="7"/>
    </row>
    <row r="183" spans="1:30" x14ac:dyDescent="0.3">
      <c r="A183" s="2" t="s">
        <v>102</v>
      </c>
      <c r="B183" s="3" t="s">
        <v>103</v>
      </c>
      <c r="C183" s="2" t="s">
        <v>73</v>
      </c>
      <c r="D183" s="2" t="s">
        <v>10</v>
      </c>
      <c r="E183" s="5">
        <v>3.7189999999999999</v>
      </c>
      <c r="F183" s="5">
        <v>9.7789999999999999</v>
      </c>
      <c r="G183" s="5">
        <v>6.43</v>
      </c>
      <c r="H183" s="5">
        <v>7.7809999999999997</v>
      </c>
      <c r="I183" s="5">
        <v>4.2569999999999997</v>
      </c>
      <c r="J183" s="5">
        <v>8.2550000000000008</v>
      </c>
      <c r="K183" s="5">
        <v>12.997</v>
      </c>
      <c r="L183" s="5">
        <v>16.329999999999998</v>
      </c>
      <c r="M183" s="5">
        <v>18.356999999999999</v>
      </c>
      <c r="N183" s="5">
        <v>19.773</v>
      </c>
      <c r="O183" s="5">
        <v>16.279</v>
      </c>
      <c r="P183" s="5">
        <v>13.526999999999999</v>
      </c>
      <c r="Q183" s="5">
        <v>56.287999999999997</v>
      </c>
      <c r="R183" s="5">
        <v>4.2969999999999997</v>
      </c>
      <c r="S183" s="5">
        <v>7.8090000000000002</v>
      </c>
      <c r="T183" s="5">
        <v>7.3929999999999998</v>
      </c>
      <c r="U183" s="5">
        <v>4.3570000000000002</v>
      </c>
      <c r="V183" s="5">
        <v>11.776999999999999</v>
      </c>
      <c r="W183" s="5">
        <v>17.103000000000002</v>
      </c>
      <c r="X183" s="5">
        <v>13.757999999999999</v>
      </c>
      <c r="Y183" s="5">
        <v>5.79</v>
      </c>
      <c r="Z183" s="5">
        <v>7.5279999999999996</v>
      </c>
      <c r="AA183" s="5">
        <v>9.4049999999999994</v>
      </c>
      <c r="AB183" s="5">
        <v>10.959</v>
      </c>
      <c r="AC183" s="5">
        <v>10.433999999999999</v>
      </c>
      <c r="AD183" s="7"/>
    </row>
    <row r="184" spans="1:30" x14ac:dyDescent="0.3">
      <c r="A184" s="2" t="s">
        <v>102</v>
      </c>
      <c r="B184" s="3" t="s">
        <v>103</v>
      </c>
      <c r="C184" s="2" t="s">
        <v>73</v>
      </c>
      <c r="D184" s="2" t="s">
        <v>11</v>
      </c>
      <c r="E184" s="5">
        <v>4.2531983493182803</v>
      </c>
      <c r="F184" s="5">
        <v>-2.27116288552982</v>
      </c>
      <c r="G184" s="5">
        <v>1.2128329025931399</v>
      </c>
      <c r="H184" s="5">
        <v>-5.8871284876447696</v>
      </c>
      <c r="I184" s="5">
        <v>-2.8504539768538</v>
      </c>
      <c r="J184" s="5">
        <v>9.0057617374237999</v>
      </c>
      <c r="K184" s="5">
        <v>9.4061285573282696</v>
      </c>
      <c r="L184" s="5">
        <v>8.8760664557088003</v>
      </c>
      <c r="M184" s="5">
        <v>-2.7259462615486401</v>
      </c>
      <c r="N184" s="5">
        <v>-2.4793759472613699</v>
      </c>
      <c r="O184" s="5">
        <v>4.5051320431206703</v>
      </c>
      <c r="P184" s="5">
        <v>9.5097833517957007</v>
      </c>
      <c r="Q184" s="5">
        <v>3.1106784939243002</v>
      </c>
      <c r="R184" s="5">
        <v>1.25373496242949</v>
      </c>
      <c r="S184" s="5">
        <v>4.0636918123520998</v>
      </c>
      <c r="T184" s="5">
        <v>8.9140088750468998</v>
      </c>
      <c r="U184" s="5">
        <v>12.117527245391299</v>
      </c>
      <c r="V184" s="5">
        <v>6.9541621879427096</v>
      </c>
      <c r="W184" s="5">
        <v>4.9394727225431199</v>
      </c>
      <c r="X184" s="5">
        <v>5.5142920737342003</v>
      </c>
      <c r="Y184" s="5">
        <v>-11.7398608281732</v>
      </c>
      <c r="Z184" s="5">
        <v>0.55228163120727902</v>
      </c>
      <c r="AA184" s="5">
        <v>12.7104688902836</v>
      </c>
      <c r="AB184" s="5">
        <v>2.2592532228328501</v>
      </c>
      <c r="AC184" s="5">
        <v>3.4656806641534099</v>
      </c>
      <c r="AD184" s="7"/>
    </row>
    <row r="185" spans="1:30" x14ac:dyDescent="0.3">
      <c r="A185" s="2" t="s">
        <v>104</v>
      </c>
      <c r="B185" s="3" t="s">
        <v>105</v>
      </c>
      <c r="C185" s="2" t="s">
        <v>106</v>
      </c>
      <c r="D185" s="2" t="s">
        <v>8</v>
      </c>
      <c r="E185" s="4">
        <v>139300000</v>
      </c>
      <c r="F185" s="4">
        <v>255435490</v>
      </c>
      <c r="G185" s="4">
        <v>347252830</v>
      </c>
      <c r="H185" s="4">
        <v>336698400</v>
      </c>
      <c r="I185" s="4">
        <v>475513570</v>
      </c>
      <c r="J185" s="4">
        <v>122413755.58</v>
      </c>
      <c r="K185" s="4">
        <v>251141650.24999899</v>
      </c>
      <c r="L185" s="4">
        <v>416689348.42080998</v>
      </c>
      <c r="M185" s="4">
        <v>641399415.78425097</v>
      </c>
      <c r="N185" s="4">
        <v>930100407.77999997</v>
      </c>
      <c r="O185" s="4">
        <v>1258453096.82495</v>
      </c>
      <c r="P185" s="4">
        <v>3663937118.45157</v>
      </c>
      <c r="Q185" s="4">
        <v>5635092658.6184196</v>
      </c>
      <c r="R185" s="4">
        <v>6697422432.4601002</v>
      </c>
      <c r="S185" s="4">
        <v>4998799334.3562098</v>
      </c>
      <c r="T185" s="4">
        <v>3868353884.9499998</v>
      </c>
      <c r="U185" s="4">
        <v>3128149928.6999998</v>
      </c>
      <c r="V185" s="4">
        <v>2319071971.47681</v>
      </c>
      <c r="W185" s="4">
        <v>1678061191.8310599</v>
      </c>
      <c r="X185" s="4">
        <v>3379329136.1392899</v>
      </c>
      <c r="Y185" s="4">
        <v>3187942207.14961</v>
      </c>
      <c r="Z185" s="4">
        <v>5295396105.2541599</v>
      </c>
      <c r="AA185" s="4">
        <v>3022175565.2380199</v>
      </c>
      <c r="AB185" s="4">
        <v>2683506270.9207501</v>
      </c>
      <c r="AC185" s="4">
        <v>3508626212.1684899</v>
      </c>
      <c r="AD185" s="7"/>
    </row>
    <row r="186" spans="1:30" x14ac:dyDescent="0.3">
      <c r="A186" s="2" t="s">
        <v>104</v>
      </c>
      <c r="B186" s="3" t="s">
        <v>105</v>
      </c>
      <c r="C186" s="2" t="s">
        <v>106</v>
      </c>
      <c r="D186" s="2" t="s">
        <v>9</v>
      </c>
      <c r="E186" s="4">
        <v>327.12623979157001</v>
      </c>
      <c r="F186" s="4">
        <v>304.79213862191301</v>
      </c>
      <c r="G186" s="4">
        <v>313.88666172119798</v>
      </c>
      <c r="H186" s="4">
        <v>339.48873780064798</v>
      </c>
      <c r="I186" s="4">
        <v>400.05697316154499</v>
      </c>
      <c r="J186" s="4">
        <v>436.773856167384</v>
      </c>
      <c r="K186" s="4">
        <v>457.48764783318302</v>
      </c>
      <c r="L186" s="4">
        <v>507.87492391430402</v>
      </c>
      <c r="M186" s="4">
        <v>592.15911118412203</v>
      </c>
      <c r="N186" s="4">
        <v>547.69714419365096</v>
      </c>
      <c r="O186" s="4">
        <v>496.18583939265898</v>
      </c>
      <c r="P186" s="4">
        <v>618.17649286789003</v>
      </c>
      <c r="Q186" s="4">
        <v>685.685748199513</v>
      </c>
      <c r="R186" s="4">
        <v>686.50567251735094</v>
      </c>
      <c r="S186" s="4">
        <v>697.14268044412302</v>
      </c>
      <c r="T186" s="4">
        <v>610.56377470658902</v>
      </c>
      <c r="U186" s="4">
        <v>441.489734819072</v>
      </c>
      <c r="V186" s="4">
        <v>470.93856305195999</v>
      </c>
      <c r="W186" s="4">
        <v>517.50726025810104</v>
      </c>
      <c r="X186" s="4">
        <v>519.09255091362002</v>
      </c>
      <c r="Y186" s="4">
        <v>462.43387647992199</v>
      </c>
      <c r="Z186" s="4">
        <v>509.90782947555198</v>
      </c>
      <c r="AA186" s="4">
        <v>578.25166375135097</v>
      </c>
      <c r="AB186" s="4">
        <v>622.00029768282297</v>
      </c>
      <c r="AC186" s="4">
        <v>656.77682463730605</v>
      </c>
      <c r="AD186" s="7"/>
    </row>
    <row r="187" spans="1:30" x14ac:dyDescent="0.3">
      <c r="A187" s="2" t="s">
        <v>104</v>
      </c>
      <c r="B187" s="3" t="s">
        <v>105</v>
      </c>
      <c r="C187" s="2" t="s">
        <v>106</v>
      </c>
      <c r="D187" s="2" t="s">
        <v>10</v>
      </c>
      <c r="E187" s="5">
        <v>2.3490000000000002</v>
      </c>
      <c r="F187" s="5">
        <v>4.5209999999999999</v>
      </c>
      <c r="G187" s="5">
        <v>5.835</v>
      </c>
      <c r="H187" s="5">
        <v>5.1139999999999999</v>
      </c>
      <c r="I187" s="5">
        <v>5.9909999999999997</v>
      </c>
      <c r="J187" s="5">
        <v>1.38</v>
      </c>
      <c r="K187" s="5">
        <v>2.641</v>
      </c>
      <c r="L187" s="5">
        <v>3.8540000000000001</v>
      </c>
      <c r="M187" s="5">
        <v>4.9640000000000004</v>
      </c>
      <c r="N187" s="5">
        <v>7.5839999999999996</v>
      </c>
      <c r="O187" s="5">
        <v>11.028</v>
      </c>
      <c r="P187" s="5">
        <v>25.062000000000001</v>
      </c>
      <c r="Q187" s="5">
        <v>33.767000000000003</v>
      </c>
      <c r="R187" s="5">
        <v>38.942999999999998</v>
      </c>
      <c r="S187" s="5">
        <v>27.805</v>
      </c>
      <c r="T187" s="5">
        <v>23.864999999999998</v>
      </c>
      <c r="U187" s="5">
        <v>25.919</v>
      </c>
      <c r="V187" s="5">
        <v>17.483000000000001</v>
      </c>
      <c r="W187" s="5">
        <v>11.173999999999999</v>
      </c>
      <c r="X187" s="5">
        <v>21.783999999999999</v>
      </c>
      <c r="Y187" s="5">
        <v>22.393999999999998</v>
      </c>
      <c r="Z187" s="5">
        <v>32.752000000000002</v>
      </c>
      <c r="AA187" s="5">
        <v>16.004000000000001</v>
      </c>
      <c r="AB187" s="5">
        <v>12.827</v>
      </c>
      <c r="AC187" s="5">
        <v>15.426</v>
      </c>
      <c r="AD187" s="7"/>
    </row>
    <row r="188" spans="1:30" x14ac:dyDescent="0.3">
      <c r="A188" s="2" t="s">
        <v>104</v>
      </c>
      <c r="B188" s="3" t="s">
        <v>105</v>
      </c>
      <c r="C188" s="2" t="s">
        <v>106</v>
      </c>
      <c r="D188" s="2" t="s">
        <v>11</v>
      </c>
      <c r="E188" s="5">
        <v>0.76623495577344203</v>
      </c>
      <c r="F188" s="5">
        <v>12.8516820207736</v>
      </c>
      <c r="G188" s="5">
        <v>9.6685053466942801</v>
      </c>
      <c r="H188" s="5">
        <v>7.2177008656965604</v>
      </c>
      <c r="I188" s="5">
        <v>8.2047049478857694</v>
      </c>
      <c r="J188" s="5">
        <v>6.3120237802319297</v>
      </c>
      <c r="K188" s="5">
        <v>9.9106775678291505</v>
      </c>
      <c r="L188" s="5">
        <v>7.6493539379586704</v>
      </c>
      <c r="M188" s="5">
        <v>6.8780294256099497</v>
      </c>
      <c r="N188" s="5">
        <v>5.9289718746081501</v>
      </c>
      <c r="O188" s="5">
        <v>6.6797293566286404</v>
      </c>
      <c r="P188" s="5">
        <v>7.1340584230044497</v>
      </c>
      <c r="Q188" s="5">
        <v>7.9945031610721999</v>
      </c>
      <c r="R188" s="5">
        <v>6.5714138966553701</v>
      </c>
      <c r="S188" s="5">
        <v>7.7025684483930998</v>
      </c>
      <c r="T188" s="5">
        <v>7.3930936986377001</v>
      </c>
      <c r="U188" s="5">
        <v>4.6969902422579501</v>
      </c>
      <c r="V188" s="5">
        <v>2.6382073731065798</v>
      </c>
      <c r="W188" s="5">
        <v>3.4849320242278199</v>
      </c>
      <c r="X188" s="5">
        <v>2.31781394821475</v>
      </c>
      <c r="Y188" s="5">
        <v>-1.2195225001119201</v>
      </c>
      <c r="Z188" s="5">
        <v>2.3774357276150702</v>
      </c>
      <c r="AA188" s="5">
        <v>4.3644507443260796</v>
      </c>
      <c r="AB188" s="5">
        <v>5.48149036541776</v>
      </c>
      <c r="AC188" s="5">
        <v>2.1485496461053799</v>
      </c>
      <c r="AD188" s="7"/>
    </row>
    <row r="189" spans="1:30" x14ac:dyDescent="0.3">
      <c r="A189" s="2" t="s">
        <v>107</v>
      </c>
      <c r="B189" s="3" t="s">
        <v>108</v>
      </c>
      <c r="C189" s="2" t="s">
        <v>106</v>
      </c>
      <c r="D189" s="2" t="s">
        <v>8</v>
      </c>
      <c r="E189" s="4">
        <v>878620000</v>
      </c>
      <c r="F189" s="4">
        <v>2145470000</v>
      </c>
      <c r="G189" s="4">
        <v>1743504000</v>
      </c>
      <c r="H189" s="4">
        <v>3576971780</v>
      </c>
      <c r="I189" s="4">
        <v>2197227820</v>
      </c>
      <c r="J189" s="4">
        <v>-1303836930</v>
      </c>
      <c r="K189" s="4">
        <v>-37714860</v>
      </c>
      <c r="L189" s="4">
        <v>-893342152</v>
      </c>
      <c r="M189" s="4">
        <v>1678971010</v>
      </c>
      <c r="N189" s="4">
        <v>2205298180</v>
      </c>
      <c r="O189" s="4">
        <v>-3227211182.4499998</v>
      </c>
      <c r="P189" s="4">
        <v>-3023770965.8368802</v>
      </c>
      <c r="Q189" s="4">
        <v>-1464627990.8828299</v>
      </c>
      <c r="R189" s="4">
        <v>-7120017424.4613895</v>
      </c>
      <c r="S189" s="4">
        <v>3657514667.4932699</v>
      </c>
      <c r="T189" s="4">
        <v>10028215162.6394</v>
      </c>
      <c r="U189" s="4">
        <v>-179517618.91999999</v>
      </c>
      <c r="V189" s="4">
        <v>-7397295409.1899099</v>
      </c>
      <c r="W189" s="4">
        <v>-6456076413.1203299</v>
      </c>
      <c r="X189" s="4">
        <v>-4098478747.6375399</v>
      </c>
      <c r="Y189" s="4">
        <v>-1866468113.0745299</v>
      </c>
      <c r="Z189" s="4">
        <v>-4355116552.7158804</v>
      </c>
      <c r="AA189" s="4">
        <v>-6598652652.0938902</v>
      </c>
      <c r="AB189" s="4">
        <v>-2119632185.51477</v>
      </c>
      <c r="AC189" s="4">
        <v>-1109663097.06424</v>
      </c>
      <c r="AD189" s="7"/>
    </row>
    <row r="190" spans="1:30" x14ac:dyDescent="0.3">
      <c r="A190" s="2" t="s">
        <v>107</v>
      </c>
      <c r="B190" s="3" t="s">
        <v>108</v>
      </c>
      <c r="C190" s="2" t="s">
        <v>106</v>
      </c>
      <c r="D190" s="2" t="s">
        <v>9</v>
      </c>
      <c r="E190" s="4">
        <v>563.73379557148701</v>
      </c>
      <c r="F190" s="4">
        <v>533.58620241244705</v>
      </c>
      <c r="G190" s="4">
        <v>999.06585591375801</v>
      </c>
      <c r="H190" s="4">
        <v>1133.66331960607</v>
      </c>
      <c r="I190" s="4">
        <v>1451.47117872493</v>
      </c>
      <c r="J190" s="4">
        <v>2145.8862109632801</v>
      </c>
      <c r="K190" s="4">
        <v>2930.4442860732001</v>
      </c>
      <c r="L190" s="4">
        <v>3515.0567898653499</v>
      </c>
      <c r="M190" s="4">
        <v>4578.1552645151696</v>
      </c>
      <c r="N190" s="4">
        <v>3645.1484656297598</v>
      </c>
      <c r="O190" s="4">
        <v>4101.6371556671202</v>
      </c>
      <c r="P190" s="4">
        <v>5184.15269149912</v>
      </c>
      <c r="Q190" s="4">
        <v>5702.4530627743397</v>
      </c>
      <c r="R190" s="4">
        <v>5688.5791621521503</v>
      </c>
      <c r="S190" s="4">
        <v>5649.6876246913898</v>
      </c>
      <c r="T190" s="4">
        <v>3641.72893919944</v>
      </c>
      <c r="U190" s="4">
        <v>2051.8146212625302</v>
      </c>
      <c r="V190" s="4">
        <v>2790.7188686976801</v>
      </c>
      <c r="W190" s="4">
        <v>2860.0936483681999</v>
      </c>
      <c r="X190" s="4">
        <v>2493.6788444017702</v>
      </c>
      <c r="Y190" s="4">
        <v>1759.35619918264</v>
      </c>
      <c r="Z190" s="4">
        <v>2303.9081266277699</v>
      </c>
      <c r="AA190" s="4">
        <v>3682.1131513698001</v>
      </c>
      <c r="AB190" s="4">
        <v>2916.1366328427498</v>
      </c>
      <c r="AC190" s="4">
        <v>2665.87444776753</v>
      </c>
      <c r="AD190" s="7"/>
    </row>
    <row r="191" spans="1:30" x14ac:dyDescent="0.3">
      <c r="A191" s="2" t="s">
        <v>107</v>
      </c>
      <c r="B191" s="3" t="s">
        <v>108</v>
      </c>
      <c r="C191" s="2" t="s">
        <v>106</v>
      </c>
      <c r="D191" s="2" t="s">
        <v>10</v>
      </c>
      <c r="E191" s="5">
        <v>9.6240000000000006</v>
      </c>
      <c r="F191" s="5">
        <v>24.009</v>
      </c>
      <c r="G191" s="5">
        <v>10.071</v>
      </c>
      <c r="H191" s="5">
        <v>17.584</v>
      </c>
      <c r="I191" s="5">
        <v>8.1379999999999999</v>
      </c>
      <c r="J191" s="5">
        <v>-3.15</v>
      </c>
      <c r="K191" s="5">
        <v>-6.4000000000000001E-2</v>
      </c>
      <c r="L191" s="5">
        <v>-1.2230000000000001</v>
      </c>
      <c r="M191" s="5">
        <v>1.7</v>
      </c>
      <c r="N191" s="5">
        <v>2.6989999999999998</v>
      </c>
      <c r="O191" s="5">
        <v>-3.3780000000000001</v>
      </c>
      <c r="P191" s="5">
        <v>-2.4079999999999999</v>
      </c>
      <c r="Q191" s="5">
        <v>-1.02</v>
      </c>
      <c r="R191" s="5">
        <v>-4.7839999999999998</v>
      </c>
      <c r="S191" s="5">
        <v>2.3839999999999999</v>
      </c>
      <c r="T191" s="5">
        <v>9.7799999999999994</v>
      </c>
      <c r="U191" s="5">
        <v>-0.3</v>
      </c>
      <c r="V191" s="5">
        <v>-8.7669999999999995</v>
      </c>
      <c r="W191" s="5">
        <v>-7.2119999999999997</v>
      </c>
      <c r="X191" s="5">
        <v>-5.0759999999999996</v>
      </c>
      <c r="Y191" s="5">
        <v>-3.1709999999999998</v>
      </c>
      <c r="Z191" s="5">
        <v>-5.4740000000000002</v>
      </c>
      <c r="AA191" s="5">
        <v>-5.0289999999999999</v>
      </c>
      <c r="AB191" s="5">
        <v>-1.978</v>
      </c>
      <c r="AC191" s="5">
        <v>-1.099</v>
      </c>
      <c r="AD191" s="7"/>
    </row>
    <row r="192" spans="1:30" x14ac:dyDescent="0.3">
      <c r="A192" s="2" t="s">
        <v>107</v>
      </c>
      <c r="B192" s="3" t="s">
        <v>108</v>
      </c>
      <c r="C192" s="2" t="s">
        <v>106</v>
      </c>
      <c r="D192" s="2" t="s">
        <v>11</v>
      </c>
      <c r="E192" s="5">
        <v>3.05462423430785</v>
      </c>
      <c r="F192" s="5">
        <v>4.2059985561950599</v>
      </c>
      <c r="G192" s="5">
        <v>13.665688760856201</v>
      </c>
      <c r="H192" s="5">
        <v>3.4873124009752101</v>
      </c>
      <c r="I192" s="5">
        <v>11.419863390458501</v>
      </c>
      <c r="J192" s="5">
        <v>14.1547775343954</v>
      </c>
      <c r="K192" s="5">
        <v>11.8418178757044</v>
      </c>
      <c r="L192" s="5">
        <v>13.0026889457975</v>
      </c>
      <c r="M192" s="5">
        <v>10.7866360496581</v>
      </c>
      <c r="N192" s="5">
        <v>1.99558909788964</v>
      </c>
      <c r="O192" s="5">
        <v>5.2936657281995396</v>
      </c>
      <c r="P192" s="5">
        <v>3.5938696024022199</v>
      </c>
      <c r="Q192" s="5">
        <v>8.5031228386661208</v>
      </c>
      <c r="R192" s="5">
        <v>4.8830612968839198</v>
      </c>
      <c r="S192" s="5">
        <v>4.65572356315585</v>
      </c>
      <c r="T192" s="5">
        <v>0.76317771091478903</v>
      </c>
      <c r="U192" s="5">
        <v>-1.70053036291208</v>
      </c>
      <c r="V192" s="5">
        <v>-0.14939622557183399</v>
      </c>
      <c r="W192" s="5">
        <v>-0.59441122698307003</v>
      </c>
      <c r="X192" s="5">
        <v>-0.204680245744115</v>
      </c>
      <c r="Y192" s="5">
        <v>-4.0424472463966303</v>
      </c>
      <c r="Z192" s="5">
        <v>2.1027525192341301</v>
      </c>
      <c r="AA192" s="5">
        <v>4.2160025847513696</v>
      </c>
      <c r="AB192" s="5">
        <v>1.26330814020108</v>
      </c>
      <c r="AC192" s="5">
        <v>4.42390664406875</v>
      </c>
      <c r="AD192" s="7"/>
    </row>
    <row r="193" spans="1:30" x14ac:dyDescent="0.3">
      <c r="A193" s="2" t="s">
        <v>109</v>
      </c>
      <c r="B193" s="3" t="s">
        <v>110</v>
      </c>
      <c r="C193" s="2" t="s">
        <v>106</v>
      </c>
      <c r="D193" s="2" t="s">
        <v>8</v>
      </c>
      <c r="E193" s="4">
        <v>57171341.3548619</v>
      </c>
      <c r="F193" s="4">
        <v>30680571.208468199</v>
      </c>
      <c r="G193" s="4">
        <v>407997392.45524001</v>
      </c>
      <c r="H193" s="4">
        <v>418040676.13980699</v>
      </c>
      <c r="I193" s="4">
        <v>390889251.85527098</v>
      </c>
      <c r="J193" s="4">
        <v>420854175.01343602</v>
      </c>
      <c r="K193" s="4">
        <v>486913109.10244697</v>
      </c>
      <c r="L193" s="4">
        <v>494634226.153714</v>
      </c>
      <c r="M193" s="4">
        <v>520917902.31475401</v>
      </c>
      <c r="N193" s="4">
        <v>208699298.206301</v>
      </c>
      <c r="O193" s="4">
        <v>218379837.568308</v>
      </c>
      <c r="P193" s="4">
        <v>293208060.474684</v>
      </c>
      <c r="Q193" s="4">
        <v>146084155.21184701</v>
      </c>
      <c r="R193" s="4">
        <v>67136806.1634994</v>
      </c>
      <c r="S193" s="4">
        <v>515184471.01723999</v>
      </c>
      <c r="T193" s="4">
        <v>378554181.53007799</v>
      </c>
      <c r="U193" s="4">
        <v>142522598.297582</v>
      </c>
      <c r="V193" s="4">
        <v>260575129.35144699</v>
      </c>
      <c r="W193" s="4">
        <v>285955061.93201399</v>
      </c>
      <c r="X193" s="4">
        <v>93607130.032601997</v>
      </c>
      <c r="Y193" s="4">
        <v>31792610.414228201</v>
      </c>
      <c r="Z193" s="4">
        <v>-319055857.57453299</v>
      </c>
      <c r="AA193" s="4">
        <v>709624140.35923505</v>
      </c>
      <c r="AB193" s="4">
        <v>741532368.07864594</v>
      </c>
      <c r="AC193" s="4">
        <v>467266647.291915</v>
      </c>
      <c r="AD193" s="7"/>
    </row>
    <row r="194" spans="1:30" x14ac:dyDescent="0.3">
      <c r="A194" s="2" t="s">
        <v>109</v>
      </c>
      <c r="B194" s="3" t="s">
        <v>110</v>
      </c>
      <c r="C194" s="2" t="s">
        <v>106</v>
      </c>
      <c r="D194" s="2" t="s">
        <v>9</v>
      </c>
      <c r="E194" s="4">
        <v>3450.81180622992</v>
      </c>
      <c r="F194" s="4">
        <v>3206.0712368985301</v>
      </c>
      <c r="G194" s="4">
        <v>3117.2508718301101</v>
      </c>
      <c r="H194" s="4">
        <v>4230.1232690992601</v>
      </c>
      <c r="I194" s="4">
        <v>4956.6928773521404</v>
      </c>
      <c r="J194" s="4">
        <v>5391.0707661963397</v>
      </c>
      <c r="K194" s="4">
        <v>5291.58379144849</v>
      </c>
      <c r="L194" s="4">
        <v>5529.1257463253196</v>
      </c>
      <c r="M194" s="4">
        <v>5503.07395314313</v>
      </c>
      <c r="N194" s="4">
        <v>5082.9338833240399</v>
      </c>
      <c r="O194" s="4">
        <v>6215.7321607791901</v>
      </c>
      <c r="P194" s="4">
        <v>7287.3829533491898</v>
      </c>
      <c r="Q194" s="4">
        <v>6595.5384501542403</v>
      </c>
      <c r="R194" s="4">
        <v>6666.9121958348696</v>
      </c>
      <c r="S194" s="4">
        <v>7122.3642342150297</v>
      </c>
      <c r="T194" s="4">
        <v>6141.20394726616</v>
      </c>
      <c r="U194" s="4">
        <v>6749.0599433901298</v>
      </c>
      <c r="V194" s="4">
        <v>7104.9640108802696</v>
      </c>
      <c r="W194" s="4">
        <v>7407.9594014178601</v>
      </c>
      <c r="X194" s="4">
        <v>7172.0895648002797</v>
      </c>
      <c r="Y194" s="4">
        <v>6323.2974967659002</v>
      </c>
      <c r="Z194" s="4">
        <v>7807.8879457047096</v>
      </c>
      <c r="AA194" s="4">
        <v>8328.7090572666002</v>
      </c>
      <c r="AB194" s="4">
        <v>7826.3537648329802</v>
      </c>
      <c r="AC194" s="4">
        <v>7695.7531944516504</v>
      </c>
      <c r="AD194" s="7"/>
    </row>
    <row r="195" spans="1:30" x14ac:dyDescent="0.3">
      <c r="A195" s="2" t="s">
        <v>109</v>
      </c>
      <c r="B195" s="3" t="s">
        <v>110</v>
      </c>
      <c r="C195" s="2" t="s">
        <v>106</v>
      </c>
      <c r="D195" s="2" t="s">
        <v>10</v>
      </c>
      <c r="E195" s="5">
        <v>0.98799999999999999</v>
      </c>
      <c r="F195" s="5">
        <v>0.55900000000000005</v>
      </c>
      <c r="G195" s="5">
        <v>7.5019999999999998</v>
      </c>
      <c r="H195" s="5">
        <v>5.5650000000000004</v>
      </c>
      <c r="I195" s="5">
        <v>4.3639999999999999</v>
      </c>
      <c r="J195" s="5">
        <v>4.2430000000000003</v>
      </c>
      <c r="K195" s="5">
        <v>4.9089999999999998</v>
      </c>
      <c r="L195" s="5">
        <v>4.681</v>
      </c>
      <c r="M195" s="5">
        <v>4.8540000000000001</v>
      </c>
      <c r="N195" s="5">
        <v>2.0630000000000002</v>
      </c>
      <c r="O195" s="5">
        <v>1.728</v>
      </c>
      <c r="P195" s="5">
        <v>1.94</v>
      </c>
      <c r="Q195" s="5">
        <v>1.05</v>
      </c>
      <c r="R195" s="5">
        <v>0.47</v>
      </c>
      <c r="S195" s="5">
        <v>3.33</v>
      </c>
      <c r="T195" s="5">
        <v>2.798</v>
      </c>
      <c r="U195" s="5">
        <v>0.94499999999999995</v>
      </c>
      <c r="V195" s="5">
        <v>1.6180000000000001</v>
      </c>
      <c r="W195" s="5">
        <v>1.679</v>
      </c>
      <c r="X195" s="5">
        <v>0.56000000000000005</v>
      </c>
      <c r="Y195" s="5">
        <v>0.21299999999999999</v>
      </c>
      <c r="Z195" s="5">
        <v>-1.702</v>
      </c>
      <c r="AA195" s="5">
        <v>3.492</v>
      </c>
      <c r="AB195" s="5">
        <v>3.82</v>
      </c>
      <c r="AC195" s="5">
        <v>2.4079999999999999</v>
      </c>
      <c r="AD195" s="7"/>
    </row>
    <row r="196" spans="1:30" x14ac:dyDescent="0.3">
      <c r="A196" s="2" t="s">
        <v>109</v>
      </c>
      <c r="B196" s="3" t="s">
        <v>110</v>
      </c>
      <c r="C196" s="2" t="s">
        <v>106</v>
      </c>
      <c r="D196" s="2" t="s">
        <v>11</v>
      </c>
      <c r="E196" s="5">
        <v>1.9876958337855199</v>
      </c>
      <c r="F196" s="5">
        <v>0.25057394968908397</v>
      </c>
      <c r="G196" s="5">
        <v>6.0695308764831699</v>
      </c>
      <c r="H196" s="5">
        <v>4.6258947495929901</v>
      </c>
      <c r="I196" s="5">
        <v>2.70582170611174</v>
      </c>
      <c r="J196" s="5">
        <v>4.5566456532318096</v>
      </c>
      <c r="K196" s="5">
        <v>8.3638710928230608</v>
      </c>
      <c r="L196" s="5">
        <v>5.79255577727118</v>
      </c>
      <c r="M196" s="5">
        <v>3.2520729579683199</v>
      </c>
      <c r="N196" s="5">
        <v>-14.144234616342301</v>
      </c>
      <c r="O196" s="5">
        <v>10.119723322694</v>
      </c>
      <c r="P196" s="5">
        <v>6.8384105249357399</v>
      </c>
      <c r="Q196" s="5">
        <v>-0.17085709933569199</v>
      </c>
      <c r="R196" s="5">
        <v>11.102906873782199</v>
      </c>
      <c r="S196" s="5">
        <v>5.6971442207288501</v>
      </c>
      <c r="T196" s="5">
        <v>-4.8513250740977902</v>
      </c>
      <c r="U196" s="5">
        <v>7.20442475914267</v>
      </c>
      <c r="V196" s="5">
        <v>4.1143785644508304</v>
      </c>
      <c r="W196" s="5">
        <v>4.1886923715922304</v>
      </c>
      <c r="X196" s="5">
        <v>3.0317733945467</v>
      </c>
      <c r="Y196" s="5">
        <v>-8.7288824399639697</v>
      </c>
      <c r="Z196" s="5">
        <v>11.916272437600799</v>
      </c>
      <c r="AA196" s="5">
        <v>5.4860170644677204</v>
      </c>
      <c r="AB196" s="5">
        <v>3.2080681222443799</v>
      </c>
      <c r="AC196" s="5">
        <v>-2.9898687946792801</v>
      </c>
      <c r="AD196" s="7"/>
    </row>
    <row r="197" spans="1:30" x14ac:dyDescent="0.3">
      <c r="A197" s="2" t="s">
        <v>111</v>
      </c>
      <c r="B197" s="3" t="s">
        <v>112</v>
      </c>
      <c r="C197" s="2" t="s">
        <v>106</v>
      </c>
      <c r="D197" s="2" t="s">
        <v>8</v>
      </c>
      <c r="E197" s="4">
        <v>32403928.087932501</v>
      </c>
      <c r="F197" s="4">
        <v>29695245.8764432</v>
      </c>
      <c r="G197" s="4">
        <v>28391254.961736899</v>
      </c>
      <c r="H197" s="4">
        <v>43948139.983982503</v>
      </c>
      <c r="I197" s="4">
        <v>55671430.938442901</v>
      </c>
      <c r="J197" s="4">
        <v>27438279.6374854</v>
      </c>
      <c r="K197" s="4">
        <v>24322286.690976899</v>
      </c>
      <c r="L197" s="4">
        <v>75618842.294883505</v>
      </c>
      <c r="M197" s="4">
        <v>11009973.061952099</v>
      </c>
      <c r="N197" s="4">
        <v>91348357.113756403</v>
      </c>
      <c r="O197" s="4">
        <v>9508668.8592367396</v>
      </c>
      <c r="P197" s="4">
        <v>61173319.208514497</v>
      </c>
      <c r="Q197" s="4">
        <v>56652703.213514902</v>
      </c>
      <c r="R197" s="4">
        <v>50427512.809290998</v>
      </c>
      <c r="S197" s="4">
        <v>94460146.980572298</v>
      </c>
      <c r="T197" s="4">
        <v>113220010.39759301</v>
      </c>
      <c r="U197" s="4">
        <v>79234566.037604406</v>
      </c>
      <c r="V197" s="4">
        <v>42168765.566598304</v>
      </c>
      <c r="W197" s="4">
        <v>40874067.2749006</v>
      </c>
      <c r="X197" s="4">
        <v>35732595.816009499</v>
      </c>
      <c r="Y197" s="4">
        <v>28001666.9222279</v>
      </c>
      <c r="Z197" s="4">
        <v>-12372199.9884458</v>
      </c>
      <c r="AA197" s="4">
        <v>-7820069.1605404904</v>
      </c>
      <c r="AB197" s="4">
        <v>-25647817.1357354</v>
      </c>
      <c r="AC197" s="4">
        <v>-12572108.039871501</v>
      </c>
      <c r="AD197" s="7"/>
    </row>
    <row r="198" spans="1:30" x14ac:dyDescent="0.3">
      <c r="A198" s="2" t="s">
        <v>111</v>
      </c>
      <c r="B198" s="3" t="s">
        <v>112</v>
      </c>
      <c r="C198" s="2" t="s">
        <v>106</v>
      </c>
      <c r="D198" s="2" t="s">
        <v>9</v>
      </c>
      <c r="E198" s="4">
        <v>442.77954577908099</v>
      </c>
      <c r="F198" s="4">
        <v>412.67747367682199</v>
      </c>
      <c r="G198" s="4">
        <v>388.92334985135</v>
      </c>
      <c r="H198" s="4">
        <v>583.27003620028802</v>
      </c>
      <c r="I198" s="4">
        <v>766.68582092824295</v>
      </c>
      <c r="J198" s="4">
        <v>861.38149641499501</v>
      </c>
      <c r="K198" s="4">
        <v>925.46748550284201</v>
      </c>
      <c r="L198" s="4">
        <v>861.18842089956297</v>
      </c>
      <c r="M198" s="4">
        <v>898.48251788259302</v>
      </c>
      <c r="N198" s="4">
        <v>878.84795053777202</v>
      </c>
      <c r="O198" s="4">
        <v>1119.4755779304201</v>
      </c>
      <c r="P198" s="4">
        <v>1280.73390931581</v>
      </c>
      <c r="Q198" s="4">
        <v>1217.93071228944</v>
      </c>
      <c r="R198" s="4">
        <v>1151.0373583722701</v>
      </c>
      <c r="S198" s="4">
        <v>1173.5377928819</v>
      </c>
      <c r="T198" s="4">
        <v>1121.19851342518</v>
      </c>
      <c r="U198" s="4">
        <v>992.491840678465</v>
      </c>
      <c r="V198" s="4">
        <v>1069.3667324754199</v>
      </c>
      <c r="W198" s="4">
        <v>1170.6556970281899</v>
      </c>
      <c r="X198" s="4">
        <v>1082.05706777516</v>
      </c>
      <c r="Y198" s="4">
        <v>918.58257470444698</v>
      </c>
      <c r="Z198" s="4">
        <v>1066.5864514382299</v>
      </c>
      <c r="AA198" s="4">
        <v>1030.1258294775701</v>
      </c>
      <c r="AB198" s="4">
        <v>916.28297698380402</v>
      </c>
      <c r="AC198" s="4">
        <v>971.90771824829005</v>
      </c>
      <c r="AD198" s="7"/>
    </row>
    <row r="199" spans="1:30" x14ac:dyDescent="0.3">
      <c r="A199" s="2" t="s">
        <v>111</v>
      </c>
      <c r="B199" s="3" t="s">
        <v>112</v>
      </c>
      <c r="C199" s="2" t="s">
        <v>106</v>
      </c>
      <c r="D199" s="2" t="s">
        <v>10</v>
      </c>
      <c r="E199" s="5">
        <v>3.6520000000000001</v>
      </c>
      <c r="F199" s="5">
        <v>3.5960000000000001</v>
      </c>
      <c r="G199" s="5">
        <v>3.66</v>
      </c>
      <c r="H199" s="5">
        <v>3.7959999999999998</v>
      </c>
      <c r="I199" s="5">
        <v>3.6840000000000002</v>
      </c>
      <c r="J199" s="5">
        <v>1.631</v>
      </c>
      <c r="K199" s="5">
        <v>1.351</v>
      </c>
      <c r="L199" s="5">
        <v>4.4950000000000001</v>
      </c>
      <c r="M199" s="5">
        <v>0.623</v>
      </c>
      <c r="N199" s="5">
        <v>5.2469999999999999</v>
      </c>
      <c r="O199" s="5">
        <v>0.42499999999999999</v>
      </c>
      <c r="P199" s="5">
        <v>2.3719999999999999</v>
      </c>
      <c r="Q199" s="5">
        <v>2.2869999999999999</v>
      </c>
      <c r="R199" s="5">
        <v>2.13</v>
      </c>
      <c r="S199" s="5">
        <v>3.87</v>
      </c>
      <c r="T199" s="5">
        <v>4.798</v>
      </c>
      <c r="U199" s="5">
        <v>3.7469999999999999</v>
      </c>
      <c r="V199" s="5">
        <v>1.8280000000000001</v>
      </c>
      <c r="W199" s="5">
        <v>1.599</v>
      </c>
      <c r="X199" s="5">
        <v>1.4950000000000001</v>
      </c>
      <c r="Y199" s="5">
        <v>1.363</v>
      </c>
      <c r="Z199" s="5">
        <v>-0.51300000000000001</v>
      </c>
      <c r="AA199" s="5">
        <v>-0.33200000000000002</v>
      </c>
      <c r="AB199" s="5">
        <v>-1.2110000000000001</v>
      </c>
      <c r="AC199" s="5">
        <v>-0.55300000000000005</v>
      </c>
      <c r="AD199" s="7"/>
    </row>
    <row r="200" spans="1:30" x14ac:dyDescent="0.3">
      <c r="A200" s="2" t="s">
        <v>111</v>
      </c>
      <c r="B200" s="3" t="s">
        <v>112</v>
      </c>
      <c r="C200" s="2" t="s">
        <v>106</v>
      </c>
      <c r="D200" s="2" t="s">
        <v>11</v>
      </c>
      <c r="E200" s="5">
        <v>3.87554677576694</v>
      </c>
      <c r="F200" s="5">
        <v>3.56158183392093</v>
      </c>
      <c r="G200" s="5">
        <v>0.72383606716712701</v>
      </c>
      <c r="H200" s="5">
        <v>4.55977716384528</v>
      </c>
      <c r="I200" s="5">
        <v>1.6923741735859601</v>
      </c>
      <c r="J200" s="5">
        <v>3.4661222275531101</v>
      </c>
      <c r="K200" s="5">
        <v>4.2300952280520896</v>
      </c>
      <c r="L200" s="5">
        <v>4.1879140995715201</v>
      </c>
      <c r="M200" s="5">
        <v>5.5234196697864597</v>
      </c>
      <c r="N200" s="5">
        <v>-1.25375779920832</v>
      </c>
      <c r="O200" s="5">
        <v>5.2696707805628602</v>
      </c>
      <c r="P200" s="5">
        <v>4.6164139452875199</v>
      </c>
      <c r="Q200" s="5">
        <v>6.3340837467944802</v>
      </c>
      <c r="R200" s="5">
        <v>1.79252555575545</v>
      </c>
      <c r="S200" s="5">
        <v>1.7105499054547599</v>
      </c>
      <c r="T200" s="5">
        <v>3.1240667804454598</v>
      </c>
      <c r="U200" s="5">
        <v>3.6089073168771399</v>
      </c>
      <c r="V200" s="5">
        <v>-3.1381749373347101</v>
      </c>
      <c r="W200" s="5">
        <v>-1.48063315848241</v>
      </c>
      <c r="X200" s="5">
        <v>-1.4179938308520601</v>
      </c>
      <c r="Y200" s="5">
        <v>-8.1559578545991105</v>
      </c>
      <c r="Z200" s="5">
        <v>2.2667096183329098</v>
      </c>
      <c r="AA200" s="5">
        <v>2.38778020186284</v>
      </c>
      <c r="AB200" s="5">
        <v>1.82662476743647</v>
      </c>
      <c r="AC200" s="5">
        <v>2.8545225317954501</v>
      </c>
      <c r="AD200" s="7"/>
    </row>
    <row r="201" spans="1:30" x14ac:dyDescent="0.3">
      <c r="A201" s="2" t="s">
        <v>113</v>
      </c>
      <c r="B201" s="3" t="s">
        <v>114</v>
      </c>
      <c r="C201" s="2" t="s">
        <v>106</v>
      </c>
      <c r="D201" s="2" t="s">
        <v>8</v>
      </c>
      <c r="E201" s="4">
        <v>196350763.262586</v>
      </c>
      <c r="F201" s="4">
        <v>379336366.38713199</v>
      </c>
      <c r="G201" s="4">
        <v>147535758.47197199</v>
      </c>
      <c r="H201" s="4">
        <v>65110887.107780397</v>
      </c>
      <c r="I201" s="4">
        <v>223561311.215727</v>
      </c>
      <c r="J201" s="4">
        <v>389850790.39106297</v>
      </c>
      <c r="K201" s="4">
        <v>610197796.10775805</v>
      </c>
      <c r="L201" s="4">
        <v>669182903.35766494</v>
      </c>
      <c r="M201" s="4">
        <v>750426324.20290995</v>
      </c>
      <c r="N201" s="4">
        <v>829054473.35843801</v>
      </c>
      <c r="O201" s="4">
        <v>287528974.44129002</v>
      </c>
      <c r="P201" s="4">
        <v>803600584.60382295</v>
      </c>
      <c r="Q201" s="4">
        <v>1041555413.14222</v>
      </c>
      <c r="R201" s="4">
        <v>777073646.37671602</v>
      </c>
      <c r="S201" s="4">
        <v>445582247.85942501</v>
      </c>
      <c r="T201" s="4">
        <v>838879062.71592903</v>
      </c>
      <c r="U201" s="4">
        <v>358727049.60592401</v>
      </c>
      <c r="V201" s="4">
        <v>280476974.99884701</v>
      </c>
      <c r="W201" s="4">
        <v>234372724.53350401</v>
      </c>
      <c r="X201" s="4">
        <v>-176478261.58352599</v>
      </c>
      <c r="Y201" s="4">
        <v>-150172760.720263</v>
      </c>
      <c r="Z201" s="4">
        <v>840286915.80155003</v>
      </c>
      <c r="AA201" s="4">
        <v>1056043502.65037</v>
      </c>
      <c r="AB201" s="4">
        <v>2294376188.5104299</v>
      </c>
      <c r="AC201" s="4">
        <v>1974173516.1760199</v>
      </c>
      <c r="AD201" s="7"/>
    </row>
    <row r="202" spans="1:30" x14ac:dyDescent="0.3">
      <c r="A202" s="2" t="s">
        <v>113</v>
      </c>
      <c r="B202" s="3" t="s">
        <v>114</v>
      </c>
      <c r="C202" s="2" t="s">
        <v>106</v>
      </c>
      <c r="D202" s="2" t="s">
        <v>9</v>
      </c>
      <c r="E202" s="4">
        <v>2156.6759051271401</v>
      </c>
      <c r="F202" s="4">
        <v>1915.5892659487499</v>
      </c>
      <c r="G202" s="4">
        <v>1772.07565537493</v>
      </c>
      <c r="H202" s="4">
        <v>2569.24739317883</v>
      </c>
      <c r="I202" s="4">
        <v>3403.1549619295502</v>
      </c>
      <c r="J202" s="4">
        <v>3685.7729999158701</v>
      </c>
      <c r="K202" s="4">
        <v>4017.1834716928001</v>
      </c>
      <c r="L202" s="4">
        <v>4379.0431368273203</v>
      </c>
      <c r="M202" s="4">
        <v>4204.7855542274901</v>
      </c>
      <c r="N202" s="4">
        <v>4302.9137414837596</v>
      </c>
      <c r="O202" s="4">
        <v>5418.2163336581398</v>
      </c>
      <c r="P202" s="4">
        <v>5834.7917675793997</v>
      </c>
      <c r="Q202" s="4">
        <v>5942.64680978673</v>
      </c>
      <c r="R202" s="4">
        <v>5346.6213114996699</v>
      </c>
      <c r="S202" s="4">
        <v>5378.3232624120501</v>
      </c>
      <c r="T202" s="4">
        <v>4774.1065086577501</v>
      </c>
      <c r="U202" s="4">
        <v>4395.6877616237598</v>
      </c>
      <c r="V202" s="4">
        <v>5143.9607232307599</v>
      </c>
      <c r="W202" s="4">
        <v>5308.6081340870496</v>
      </c>
      <c r="X202" s="4">
        <v>4731.9210318831001</v>
      </c>
      <c r="Y202" s="4">
        <v>3878.5898299396599</v>
      </c>
      <c r="Z202" s="4">
        <v>4412.8355693051999</v>
      </c>
      <c r="AA202" s="4">
        <v>4349.79908493314</v>
      </c>
      <c r="AB202" s="4">
        <v>4187.60500396525</v>
      </c>
      <c r="AC202" s="4">
        <v>4413.1275221157202</v>
      </c>
      <c r="AD202" s="7"/>
    </row>
    <row r="203" spans="1:30" x14ac:dyDescent="0.3">
      <c r="A203" s="2" t="s">
        <v>113</v>
      </c>
      <c r="B203" s="3" t="s">
        <v>114</v>
      </c>
      <c r="C203" s="2" t="s">
        <v>106</v>
      </c>
      <c r="D203" s="2" t="s">
        <v>10</v>
      </c>
      <c r="E203" s="5">
        <v>5.0060000000000002</v>
      </c>
      <c r="F203" s="5">
        <v>10.663</v>
      </c>
      <c r="G203" s="5">
        <v>4.4050000000000002</v>
      </c>
      <c r="H203" s="5">
        <v>1.3220000000000001</v>
      </c>
      <c r="I203" s="5">
        <v>3.383</v>
      </c>
      <c r="J203" s="5">
        <v>5.3780000000000001</v>
      </c>
      <c r="K203" s="5">
        <v>7.6260000000000003</v>
      </c>
      <c r="L203" s="5">
        <v>7.57</v>
      </c>
      <c r="M203" s="5">
        <v>8.718</v>
      </c>
      <c r="N203" s="5">
        <v>9.2750000000000004</v>
      </c>
      <c r="O203" s="5">
        <v>2.5150000000000001</v>
      </c>
      <c r="P203" s="5">
        <v>6.4169999999999998</v>
      </c>
      <c r="Q203" s="5">
        <v>7.9859999999999998</v>
      </c>
      <c r="R203" s="5">
        <v>6.452</v>
      </c>
      <c r="S203" s="5">
        <v>3.5830000000000002</v>
      </c>
      <c r="T203" s="5">
        <v>7.4009999999999998</v>
      </c>
      <c r="U203" s="5">
        <v>3.3460000000000001</v>
      </c>
      <c r="V203" s="5">
        <v>2.1749999999999998</v>
      </c>
      <c r="W203" s="5">
        <v>1.7130000000000001</v>
      </c>
      <c r="X203" s="5">
        <v>-1.407</v>
      </c>
      <c r="Y203" s="5">
        <v>-1.419</v>
      </c>
      <c r="Z203" s="5">
        <v>6.7750000000000004</v>
      </c>
      <c r="AA203" s="5">
        <v>8.4019999999999992</v>
      </c>
      <c r="AB203" s="5">
        <v>18.491</v>
      </c>
      <c r="AC203" s="5">
        <v>14.763</v>
      </c>
      <c r="AD203" s="7"/>
    </row>
    <row r="204" spans="1:30" x14ac:dyDescent="0.3">
      <c r="A204" s="2" t="s">
        <v>113</v>
      </c>
      <c r="B204" s="3" t="s">
        <v>114</v>
      </c>
      <c r="C204" s="2" t="s">
        <v>106</v>
      </c>
      <c r="D204" s="2" t="s">
        <v>11</v>
      </c>
      <c r="E204" s="5">
        <v>3.4921833636517801</v>
      </c>
      <c r="F204" s="5">
        <v>1.17794869467917</v>
      </c>
      <c r="G204" s="5">
        <v>4.78866121882111</v>
      </c>
      <c r="H204" s="5">
        <v>4.2397942958213699</v>
      </c>
      <c r="I204" s="5">
        <v>12.2695481036769</v>
      </c>
      <c r="J204" s="5">
        <v>2.5292626581902198</v>
      </c>
      <c r="K204" s="5">
        <v>7.07317531845825</v>
      </c>
      <c r="L204" s="5">
        <v>5.3740441516763404</v>
      </c>
      <c r="M204" s="5">
        <v>2.6498120378026799</v>
      </c>
      <c r="N204" s="5">
        <v>0.29597091400108899</v>
      </c>
      <c r="O204" s="5">
        <v>6.0392494795585803</v>
      </c>
      <c r="P204" s="5">
        <v>5.0913381386433798</v>
      </c>
      <c r="Q204" s="5">
        <v>5.0616820696264</v>
      </c>
      <c r="R204" s="5">
        <v>5.6147196225448504</v>
      </c>
      <c r="S204" s="5">
        <v>6.0925191597795596</v>
      </c>
      <c r="T204" s="5">
        <v>4.2641745376367499</v>
      </c>
      <c r="U204" s="5">
        <v>3.3794450206329402E-2</v>
      </c>
      <c r="V204" s="5">
        <v>-1.02724808856709</v>
      </c>
      <c r="W204" s="5">
        <v>1.0599394986075199</v>
      </c>
      <c r="X204" s="5">
        <v>-0.83915216341935694</v>
      </c>
      <c r="Y204" s="5">
        <v>-8.1014020144331909</v>
      </c>
      <c r="Z204" s="5">
        <v>3.60382919248703</v>
      </c>
      <c r="AA204" s="5">
        <v>5.3987247803654004</v>
      </c>
      <c r="AB204" s="5">
        <v>4.4428060030395597</v>
      </c>
      <c r="AC204" s="5">
        <v>3.71154502416731</v>
      </c>
      <c r="AD204" s="7"/>
    </row>
    <row r="205" spans="1:30" x14ac:dyDescent="0.3">
      <c r="A205" s="2" t="s">
        <v>115</v>
      </c>
      <c r="B205" s="3" t="s">
        <v>116</v>
      </c>
      <c r="C205" s="2" t="s">
        <v>106</v>
      </c>
      <c r="D205" s="2" t="s">
        <v>8</v>
      </c>
      <c r="E205" s="4">
        <v>968831355.95908999</v>
      </c>
      <c r="F205" s="4">
        <v>7270344986.4768</v>
      </c>
      <c r="G205" s="4">
        <v>1479804588.75226</v>
      </c>
      <c r="H205" s="4">
        <v>783136092.25813997</v>
      </c>
      <c r="I205" s="4">
        <v>701422007.62977803</v>
      </c>
      <c r="J205" s="4">
        <v>6522098178.1805</v>
      </c>
      <c r="K205" s="4">
        <v>623291744.34351897</v>
      </c>
      <c r="L205" s="4">
        <v>6586792253.1097002</v>
      </c>
      <c r="M205" s="4">
        <v>9885001293.4435806</v>
      </c>
      <c r="N205" s="4">
        <v>7624489973.8818903</v>
      </c>
      <c r="O205" s="4">
        <v>3693271715.48139</v>
      </c>
      <c r="P205" s="4">
        <v>4139289122.6873598</v>
      </c>
      <c r="Q205" s="4">
        <v>4626029122.4000597</v>
      </c>
      <c r="R205" s="4">
        <v>8232518815.6208296</v>
      </c>
      <c r="S205" s="4">
        <v>5791659020.0999603</v>
      </c>
      <c r="T205" s="4">
        <v>1521139945.30531</v>
      </c>
      <c r="U205" s="4">
        <v>2215307020.3954101</v>
      </c>
      <c r="V205" s="4">
        <v>2058579911.05235</v>
      </c>
      <c r="W205" s="4">
        <v>5569462350.1520596</v>
      </c>
      <c r="X205" s="4">
        <v>5116098443.4871502</v>
      </c>
      <c r="Y205" s="4">
        <v>3153552569.39324</v>
      </c>
      <c r="Z205" s="4">
        <v>40658789144.938202</v>
      </c>
      <c r="AA205" s="4">
        <v>9238990828.4504204</v>
      </c>
      <c r="AB205" s="4">
        <v>3862994369.6494699</v>
      </c>
      <c r="AC205" s="4">
        <v>2330218039.3203101</v>
      </c>
      <c r="AD205" s="7"/>
    </row>
    <row r="206" spans="1:30" x14ac:dyDescent="0.3">
      <c r="A206" s="2" t="s">
        <v>115</v>
      </c>
      <c r="B206" s="3" t="s">
        <v>116</v>
      </c>
      <c r="C206" s="2" t="s">
        <v>106</v>
      </c>
      <c r="D206" s="2" t="s">
        <v>9</v>
      </c>
      <c r="E206" s="4">
        <v>3217.8469344846699</v>
      </c>
      <c r="F206" s="4">
        <v>2847.1519194590801</v>
      </c>
      <c r="G206" s="4">
        <v>2688.23676032806</v>
      </c>
      <c r="H206" s="4">
        <v>4062.2175599378602</v>
      </c>
      <c r="I206" s="4">
        <v>5221.4633373172101</v>
      </c>
      <c r="J206" s="4">
        <v>5836.8766332512696</v>
      </c>
      <c r="K206" s="4">
        <v>6077.3829338887599</v>
      </c>
      <c r="L206" s="4">
        <v>6591.8553596056399</v>
      </c>
      <c r="M206" s="4">
        <v>6184.7547432839901</v>
      </c>
      <c r="N206" s="4">
        <v>6374.7056004299302</v>
      </c>
      <c r="O206" s="4">
        <v>7973.47195771517</v>
      </c>
      <c r="P206" s="4">
        <v>8646.0557107163495</v>
      </c>
      <c r="Q206" s="4">
        <v>8076.9767847974099</v>
      </c>
      <c r="R206" s="4">
        <v>7331.6546738491897</v>
      </c>
      <c r="S206" s="4">
        <v>6856.7313709252203</v>
      </c>
      <c r="T206" s="4">
        <v>6112.2738248597398</v>
      </c>
      <c r="U206" s="4">
        <v>5651.2058516574898</v>
      </c>
      <c r="V206" s="4">
        <v>6618.3350825570096</v>
      </c>
      <c r="W206" s="4">
        <v>6914.1780318075998</v>
      </c>
      <c r="X206" s="4">
        <v>6533.7112103285599</v>
      </c>
      <c r="Y206" s="4">
        <v>5580.6038307518902</v>
      </c>
      <c r="Z206" s="4">
        <v>6828.7562459001701</v>
      </c>
      <c r="AA206" s="4">
        <v>6534.2486778339699</v>
      </c>
      <c r="AB206" s="4">
        <v>6034.2720896467299</v>
      </c>
      <c r="AC206" s="4">
        <v>6267.1868140930101</v>
      </c>
      <c r="AD206" s="7"/>
    </row>
    <row r="207" spans="1:30" x14ac:dyDescent="0.3">
      <c r="A207" s="2" t="s">
        <v>115</v>
      </c>
      <c r="B207" s="3" t="s">
        <v>116</v>
      </c>
      <c r="C207" s="2" t="s">
        <v>106</v>
      </c>
      <c r="D207" s="2" t="s">
        <v>10</v>
      </c>
      <c r="E207" s="5">
        <v>0.63800000000000001</v>
      </c>
      <c r="F207" s="5">
        <v>5.3680000000000003</v>
      </c>
      <c r="G207" s="5">
        <v>1.1459999999999999</v>
      </c>
      <c r="H207" s="5">
        <v>0.39700000000000002</v>
      </c>
      <c r="I207" s="5">
        <v>0.27400000000000002</v>
      </c>
      <c r="J207" s="5">
        <v>2.258</v>
      </c>
      <c r="K207" s="5">
        <v>0.20499999999999999</v>
      </c>
      <c r="L207" s="5">
        <v>1.978</v>
      </c>
      <c r="M207" s="5">
        <v>3.1269999999999998</v>
      </c>
      <c r="N207" s="5">
        <v>2.3119999999999998</v>
      </c>
      <c r="O207" s="5">
        <v>0.88500000000000001</v>
      </c>
      <c r="P207" s="5">
        <v>0.90300000000000002</v>
      </c>
      <c r="Q207" s="5">
        <v>1.0649999999999999</v>
      </c>
      <c r="R207" s="5">
        <v>2.0539999999999998</v>
      </c>
      <c r="S207" s="5">
        <v>1.5189999999999999</v>
      </c>
      <c r="T207" s="5">
        <v>0.439</v>
      </c>
      <c r="U207" s="5">
        <v>0.68500000000000005</v>
      </c>
      <c r="V207" s="5">
        <v>0.54</v>
      </c>
      <c r="W207" s="5">
        <v>1.3740000000000001</v>
      </c>
      <c r="X207" s="5">
        <v>1.3140000000000001</v>
      </c>
      <c r="Y207" s="5">
        <v>0.93300000000000005</v>
      </c>
      <c r="Z207" s="5">
        <v>9.6809999999999992</v>
      </c>
      <c r="AA207" s="5">
        <v>2.2669999999999999</v>
      </c>
      <c r="AB207" s="5">
        <v>1.0129999999999999</v>
      </c>
      <c r="AC207" s="5">
        <v>0.58099999999999996</v>
      </c>
      <c r="AD207" s="7"/>
    </row>
    <row r="208" spans="1:30" x14ac:dyDescent="0.3">
      <c r="A208" s="2" t="s">
        <v>115</v>
      </c>
      <c r="B208" s="3" t="s">
        <v>116</v>
      </c>
      <c r="C208" s="2" t="s">
        <v>106</v>
      </c>
      <c r="D208" s="2" t="s">
        <v>11</v>
      </c>
      <c r="E208" s="5">
        <v>4.2000000006782603</v>
      </c>
      <c r="F208" s="5">
        <v>2.7000000001910398</v>
      </c>
      <c r="G208" s="5">
        <v>3.7003744040666802</v>
      </c>
      <c r="H208" s="5">
        <v>2.94907546754213</v>
      </c>
      <c r="I208" s="5">
        <v>4.5545599072177403</v>
      </c>
      <c r="J208" s="5">
        <v>5.2770519729546699</v>
      </c>
      <c r="K208" s="5">
        <v>5.6038064589588901</v>
      </c>
      <c r="L208" s="5">
        <v>5.36047405394162</v>
      </c>
      <c r="M208" s="5">
        <v>3.1910438863288002</v>
      </c>
      <c r="N208" s="5">
        <v>-1.5380891352558299</v>
      </c>
      <c r="O208" s="5">
        <v>3.0397328812795599</v>
      </c>
      <c r="P208" s="5">
        <v>3.1685562785881798</v>
      </c>
      <c r="Q208" s="5">
        <v>2.3962323846574498</v>
      </c>
      <c r="R208" s="5">
        <v>2.48546800826588</v>
      </c>
      <c r="S208" s="5">
        <v>1.41382645223793</v>
      </c>
      <c r="T208" s="5">
        <v>1.3218622367823001</v>
      </c>
      <c r="U208" s="5">
        <v>0.66455230785811603</v>
      </c>
      <c r="V208" s="5">
        <v>1.15794695181735</v>
      </c>
      <c r="W208" s="5">
        <v>1.5567838472167601</v>
      </c>
      <c r="X208" s="5">
        <v>0.25993557687633001</v>
      </c>
      <c r="Y208" s="5">
        <v>-6.1689177146757004</v>
      </c>
      <c r="Z208" s="5">
        <v>4.8586486506014799</v>
      </c>
      <c r="AA208" s="5">
        <v>2.0581366169219302</v>
      </c>
      <c r="AB208" s="5">
        <v>0.80610455095804001</v>
      </c>
      <c r="AC208" s="5">
        <v>0.534843531905139</v>
      </c>
      <c r="AD208" s="7"/>
    </row>
    <row r="209" spans="1:30" x14ac:dyDescent="0.3">
      <c r="A209" s="2" t="s">
        <v>117</v>
      </c>
      <c r="B209" s="3" t="s">
        <v>118</v>
      </c>
      <c r="C209" s="2" t="s">
        <v>106</v>
      </c>
      <c r="D209" s="2" t="s">
        <v>8</v>
      </c>
      <c r="E209" s="4">
        <v>121700000</v>
      </c>
      <c r="F209" s="4">
        <v>145000000</v>
      </c>
      <c r="G209" s="4">
        <v>298390000</v>
      </c>
      <c r="H209" s="4">
        <v>347000000</v>
      </c>
      <c r="I209" s="4">
        <v>364040000</v>
      </c>
      <c r="J209" s="4">
        <v>356940000</v>
      </c>
      <c r="K209" s="4">
        <v>615789999.99999905</v>
      </c>
      <c r="L209" s="4">
        <v>1323900000</v>
      </c>
      <c r="M209" s="4">
        <v>938620000</v>
      </c>
      <c r="N209" s="4">
        <v>694800000</v>
      </c>
      <c r="O209" s="4">
        <v>1729300000</v>
      </c>
      <c r="P209" s="4">
        <v>1108500000</v>
      </c>
      <c r="Q209" s="4">
        <v>1731500000</v>
      </c>
      <c r="R209" s="4">
        <v>2099800000</v>
      </c>
      <c r="S209" s="4">
        <v>1507800000</v>
      </c>
      <c r="T209" s="4">
        <v>1582666666.6666601</v>
      </c>
      <c r="U209" s="4">
        <v>662813935.42047203</v>
      </c>
      <c r="V209" s="4">
        <v>1107519804.84533</v>
      </c>
      <c r="W209" s="4">
        <v>408438491.70233601</v>
      </c>
      <c r="X209" s="4">
        <v>547967909.61240101</v>
      </c>
      <c r="Y209" s="4">
        <v>245205491.395466</v>
      </c>
      <c r="Z209" s="4">
        <v>394217415.17706901</v>
      </c>
      <c r="AA209" s="4">
        <v>-65118862.8223029</v>
      </c>
      <c r="AB209" s="4">
        <v>641091890.66587901</v>
      </c>
      <c r="AC209" s="4">
        <v>2359364621.1876702</v>
      </c>
      <c r="AD209" s="7"/>
    </row>
    <row r="210" spans="1:30" x14ac:dyDescent="0.3">
      <c r="A210" s="2" t="s">
        <v>117</v>
      </c>
      <c r="B210" s="3" t="s">
        <v>118</v>
      </c>
      <c r="C210" s="2" t="s">
        <v>106</v>
      </c>
      <c r="D210" s="2" t="s">
        <v>9</v>
      </c>
      <c r="E210" s="4">
        <v>359.42950098822098</v>
      </c>
      <c r="F210" s="4">
        <v>396.54895299350397</v>
      </c>
      <c r="G210" s="4">
        <v>393.86462551861598</v>
      </c>
      <c r="H210" s="4">
        <v>446.29010483904102</v>
      </c>
      <c r="I210" s="4">
        <v>548.68597456627697</v>
      </c>
      <c r="J210" s="4">
        <v>710.98206817169603</v>
      </c>
      <c r="K210" s="4">
        <v>1051.71714895686</v>
      </c>
      <c r="L210" s="4">
        <v>1118.7316262695299</v>
      </c>
      <c r="M210" s="4">
        <v>1375.5021100699701</v>
      </c>
      <c r="N210" s="4">
        <v>1136.24168316848</v>
      </c>
      <c r="O210" s="4">
        <v>1451.1061601715501</v>
      </c>
      <c r="P210" s="4">
        <v>1624.8681776344299</v>
      </c>
      <c r="Q210" s="4">
        <v>1710.0506134372799</v>
      </c>
      <c r="R210" s="4">
        <v>1820.7185482739101</v>
      </c>
      <c r="S210" s="4">
        <v>1707.4857313669399</v>
      </c>
      <c r="T210" s="4">
        <v>1295.87788680068</v>
      </c>
      <c r="U210" s="4">
        <v>1239.08527877713</v>
      </c>
      <c r="V210" s="4">
        <v>1483.46577328065</v>
      </c>
      <c r="W210" s="4">
        <v>1463.8999785559299</v>
      </c>
      <c r="X210" s="4">
        <v>1258.98619844462</v>
      </c>
      <c r="Y210" s="4">
        <v>951.64431665595703</v>
      </c>
      <c r="Z210" s="4">
        <v>1127.16077872857</v>
      </c>
      <c r="AA210" s="4">
        <v>1447.1231013803499</v>
      </c>
      <c r="AB210" s="4">
        <v>1330.7278057670901</v>
      </c>
      <c r="AC210" s="4">
        <v>1187.1094335006401</v>
      </c>
      <c r="AD210" s="7"/>
    </row>
    <row r="211" spans="1:30" x14ac:dyDescent="0.3">
      <c r="A211" s="2" t="s">
        <v>117</v>
      </c>
      <c r="B211" s="3" t="s">
        <v>118</v>
      </c>
      <c r="C211" s="2" t="s">
        <v>106</v>
      </c>
      <c r="D211" s="2" t="s">
        <v>10</v>
      </c>
      <c r="E211" s="5">
        <v>3.38</v>
      </c>
      <c r="F211" s="5">
        <v>3.5409999999999999</v>
      </c>
      <c r="G211" s="5">
        <v>7.1150000000000002</v>
      </c>
      <c r="H211" s="5">
        <v>7.0789999999999997</v>
      </c>
      <c r="I211" s="5">
        <v>5.8520000000000003</v>
      </c>
      <c r="J211" s="5">
        <v>4.2839999999999998</v>
      </c>
      <c r="K211" s="5">
        <v>4.827</v>
      </c>
      <c r="L211" s="5">
        <v>9.4179999999999993</v>
      </c>
      <c r="M211" s="5">
        <v>5.2409999999999997</v>
      </c>
      <c r="N211" s="5">
        <v>4.5330000000000004</v>
      </c>
      <c r="O211" s="5">
        <v>8.5329999999999995</v>
      </c>
      <c r="P211" s="5">
        <v>4.7249999999999996</v>
      </c>
      <c r="Q211" s="5">
        <v>6.7889999999999997</v>
      </c>
      <c r="R211" s="5">
        <v>7.4889999999999999</v>
      </c>
      <c r="S211" s="5">
        <v>5.5549999999999997</v>
      </c>
      <c r="T211" s="5">
        <v>7.4470000000000001</v>
      </c>
      <c r="U211" s="5">
        <v>3.1629999999999998</v>
      </c>
      <c r="V211" s="5">
        <v>4.2809999999999997</v>
      </c>
      <c r="W211" s="5">
        <v>1.552</v>
      </c>
      <c r="X211" s="5">
        <v>2.351</v>
      </c>
      <c r="Y211" s="5">
        <v>1.3520000000000001</v>
      </c>
      <c r="Z211" s="5">
        <v>1.784</v>
      </c>
      <c r="AA211" s="5">
        <v>-0.223</v>
      </c>
      <c r="AB211" s="5">
        <v>2.3250000000000002</v>
      </c>
      <c r="AC211" s="5">
        <v>9.3239999999999998</v>
      </c>
      <c r="AD211" s="7"/>
    </row>
    <row r="212" spans="1:30" x14ac:dyDescent="0.3">
      <c r="A212" s="2" t="s">
        <v>117</v>
      </c>
      <c r="B212" s="3" t="s">
        <v>118</v>
      </c>
      <c r="C212" s="2" t="s">
        <v>106</v>
      </c>
      <c r="D212" s="2" t="s">
        <v>11</v>
      </c>
      <c r="E212" s="5">
        <v>3.8973229434189598</v>
      </c>
      <c r="F212" s="5">
        <v>5.3168682741841904</v>
      </c>
      <c r="G212" s="5">
        <v>4.5060142803260401</v>
      </c>
      <c r="H212" s="5">
        <v>6.9449739822122298</v>
      </c>
      <c r="I212" s="5">
        <v>7.0323951151521804</v>
      </c>
      <c r="J212" s="5">
        <v>7.2355990065554296</v>
      </c>
      <c r="K212" s="5">
        <v>7.9036944448007898</v>
      </c>
      <c r="L212" s="5">
        <v>8.3524362444740596</v>
      </c>
      <c r="M212" s="5">
        <v>7.7738958154236304</v>
      </c>
      <c r="N212" s="5">
        <v>9.2203484058663001</v>
      </c>
      <c r="O212" s="5">
        <v>10.298223324121301</v>
      </c>
      <c r="P212" s="5">
        <v>5.5692521926301897</v>
      </c>
      <c r="Q212" s="5">
        <v>7.5973810490199396</v>
      </c>
      <c r="R212" s="5">
        <v>5.0575369504725201</v>
      </c>
      <c r="S212" s="5">
        <v>4.6932831637670498</v>
      </c>
      <c r="T212" s="5">
        <v>2.92037511217961</v>
      </c>
      <c r="U212" s="5">
        <v>3.7551003167898802</v>
      </c>
      <c r="V212" s="5">
        <v>3.5258627714992601</v>
      </c>
      <c r="W212" s="5">
        <v>4.0344938966716501</v>
      </c>
      <c r="X212" s="5">
        <v>1.4413060260378501</v>
      </c>
      <c r="Y212" s="5">
        <v>-2.7850550654516701</v>
      </c>
      <c r="Z212" s="5">
        <v>6.2349220472644804</v>
      </c>
      <c r="AA212" s="5">
        <v>5.2112236035624697</v>
      </c>
      <c r="AB212" s="5">
        <v>5.3679428549305896</v>
      </c>
      <c r="AC212" s="5">
        <v>3.8200482551859101</v>
      </c>
      <c r="AD212" s="7"/>
    </row>
    <row r="213" spans="1:30" x14ac:dyDescent="0.3">
      <c r="A213" s="2" t="s">
        <v>119</v>
      </c>
      <c r="B213" s="3" t="s">
        <v>120</v>
      </c>
      <c r="C213" s="2" t="s">
        <v>106</v>
      </c>
      <c r="D213" s="2" t="s">
        <v>8</v>
      </c>
      <c r="E213" s="4">
        <v>23200000</v>
      </c>
      <c r="F213" s="4">
        <v>3800000</v>
      </c>
      <c r="G213" s="4">
        <v>25900000</v>
      </c>
      <c r="H213" s="4">
        <v>3800000</v>
      </c>
      <c r="I213" s="4">
        <v>8700000</v>
      </c>
      <c r="J213" s="4">
        <v>102800000</v>
      </c>
      <c r="K213" s="4">
        <v>40000000</v>
      </c>
      <c r="L213" s="4">
        <v>68900000</v>
      </c>
      <c r="M213" s="4">
        <v>51600000</v>
      </c>
      <c r="N213" s="4">
        <v>105000000</v>
      </c>
      <c r="O213" s="4">
        <v>122586666.666667</v>
      </c>
      <c r="P213" s="4">
        <v>344300000</v>
      </c>
      <c r="Q213" s="4">
        <v>349850000</v>
      </c>
      <c r="R213" s="4">
        <v>373050000</v>
      </c>
      <c r="S213" s="4">
        <v>472800000</v>
      </c>
      <c r="T213" s="4">
        <v>399200000</v>
      </c>
      <c r="U213" s="4">
        <v>343013813.38</v>
      </c>
      <c r="V213" s="4">
        <v>307187738.78799999</v>
      </c>
      <c r="W213" s="4">
        <v>413857379.43884999</v>
      </c>
      <c r="X213" s="4">
        <v>249673369.80450001</v>
      </c>
      <c r="Y213" s="4">
        <v>150461768.075241</v>
      </c>
      <c r="Z213" s="4">
        <v>237480367.75999999</v>
      </c>
      <c r="AA213" s="4">
        <v>336761000</v>
      </c>
      <c r="AB213" s="4">
        <v>604196000</v>
      </c>
      <c r="AC213" s="4">
        <v>465433000</v>
      </c>
      <c r="AD213" s="7"/>
    </row>
    <row r="214" spans="1:30" x14ac:dyDescent="0.3">
      <c r="A214" s="2" t="s">
        <v>119</v>
      </c>
      <c r="B214" s="3" t="s">
        <v>120</v>
      </c>
      <c r="C214" s="2" t="s">
        <v>106</v>
      </c>
      <c r="D214" s="2" t="s">
        <v>9</v>
      </c>
      <c r="E214" s="4">
        <v>562.83375749607603</v>
      </c>
      <c r="F214" s="4">
        <v>566.38874644887198</v>
      </c>
      <c r="G214" s="4">
        <v>524.93647857032295</v>
      </c>
      <c r="H214" s="4">
        <v>468.471932927213</v>
      </c>
      <c r="I214" s="4">
        <v>469.719298949304</v>
      </c>
      <c r="J214" s="4">
        <v>461.27138754791201</v>
      </c>
      <c r="K214" s="4">
        <v>431.03499441496399</v>
      </c>
      <c r="L214" s="4">
        <v>413.52124459292497</v>
      </c>
      <c r="M214" s="4">
        <v>340.91744758857197</v>
      </c>
      <c r="N214" s="4">
        <v>735.82169387169699</v>
      </c>
      <c r="O214" s="4">
        <v>902.01075906738799</v>
      </c>
      <c r="P214" s="4">
        <v>1037.7756515721801</v>
      </c>
      <c r="Q214" s="4">
        <v>1239.2270974570899</v>
      </c>
      <c r="R214" s="4">
        <v>1362.9949832336799</v>
      </c>
      <c r="S214" s="4">
        <v>1372.9152617316099</v>
      </c>
      <c r="T214" s="4">
        <v>1387.12632595026</v>
      </c>
      <c r="U214" s="4">
        <v>1408.1394525343101</v>
      </c>
      <c r="V214" s="4">
        <v>3445.44941020134</v>
      </c>
      <c r="W214" s="4">
        <v>2270.8953187430202</v>
      </c>
      <c r="X214" s="4">
        <v>2184.3292385546902</v>
      </c>
      <c r="Y214" s="4">
        <v>2059.6744538449898</v>
      </c>
      <c r="Z214" s="4">
        <v>2613.6054208355199</v>
      </c>
      <c r="AA214" s="4">
        <v>2536.4005022307601</v>
      </c>
      <c r="AB214" s="4">
        <v>2195.2249207924501</v>
      </c>
      <c r="AC214" s="4">
        <v>2497.2033220876301</v>
      </c>
      <c r="AD214" s="7"/>
    </row>
    <row r="215" spans="1:30" x14ac:dyDescent="0.3">
      <c r="A215" s="2" t="s">
        <v>119</v>
      </c>
      <c r="B215" s="3" t="s">
        <v>120</v>
      </c>
      <c r="C215" s="2" t="s">
        <v>106</v>
      </c>
      <c r="D215" s="2" t="s">
        <v>10</v>
      </c>
      <c r="E215" s="5">
        <v>0.34699999999999998</v>
      </c>
      <c r="F215" s="5">
        <v>5.6000000000000001E-2</v>
      </c>
      <c r="G215" s="5">
        <v>0.40799999999999997</v>
      </c>
      <c r="H215" s="5">
        <v>6.6000000000000003E-2</v>
      </c>
      <c r="I215" s="5">
        <v>0.15</v>
      </c>
      <c r="J215" s="5">
        <v>1.7849999999999999</v>
      </c>
      <c r="K215" s="5">
        <v>0.73399999999999999</v>
      </c>
      <c r="L215" s="5">
        <v>1.3009999999999999</v>
      </c>
      <c r="M215" s="5">
        <v>1.1679999999999999</v>
      </c>
      <c r="N215" s="5">
        <v>1.0860000000000001</v>
      </c>
      <c r="O215" s="5">
        <v>1.018</v>
      </c>
      <c r="P215" s="5">
        <v>2.44</v>
      </c>
      <c r="Q215" s="5">
        <v>2.0430000000000001</v>
      </c>
      <c r="R215" s="5">
        <v>1.9530000000000001</v>
      </c>
      <c r="S215" s="5">
        <v>2.4239999999999999</v>
      </c>
      <c r="T215" s="5">
        <v>1.9990000000000001</v>
      </c>
      <c r="U215" s="5">
        <v>1.6679999999999999</v>
      </c>
      <c r="V215" s="5">
        <v>0.60199999999999998</v>
      </c>
      <c r="W215" s="5">
        <v>1.212</v>
      </c>
      <c r="X215" s="5">
        <v>0.748</v>
      </c>
      <c r="Y215" s="5">
        <v>0.47</v>
      </c>
      <c r="Z215" s="5">
        <v>0.57499999999999996</v>
      </c>
      <c r="AA215" s="5">
        <v>0.82599999999999996</v>
      </c>
      <c r="AB215" s="5">
        <v>1.6839999999999999</v>
      </c>
      <c r="AC215" s="5">
        <v>1.1200000000000001</v>
      </c>
      <c r="AD215" s="7"/>
    </row>
    <row r="216" spans="1:30" x14ac:dyDescent="0.3">
      <c r="A216" s="2" t="s">
        <v>119</v>
      </c>
      <c r="B216" s="3" t="s">
        <v>120</v>
      </c>
      <c r="C216" s="2" t="s">
        <v>106</v>
      </c>
      <c r="D216" s="2" t="s">
        <v>11</v>
      </c>
      <c r="E216" s="5">
        <v>-3.05911780575599</v>
      </c>
      <c r="F216" s="5">
        <v>1.4395172772195799</v>
      </c>
      <c r="G216" s="5">
        <v>-8.8940128579275193</v>
      </c>
      <c r="H216" s="5">
        <v>-16.995073335576301</v>
      </c>
      <c r="I216" s="5">
        <v>-5.80753964196205</v>
      </c>
      <c r="J216" s="5">
        <v>-5.7111254124136401</v>
      </c>
      <c r="K216" s="5">
        <v>-3.4614029033696299</v>
      </c>
      <c r="L216" s="5">
        <v>-3.6532509148719998</v>
      </c>
      <c r="M216" s="5">
        <v>-17.668998795849099</v>
      </c>
      <c r="N216" s="5">
        <v>13.272054616797901</v>
      </c>
      <c r="O216" s="5">
        <v>19.675407701932301</v>
      </c>
      <c r="P216" s="5">
        <v>14.1939156801139</v>
      </c>
      <c r="Q216" s="5">
        <v>16.6654290410338</v>
      </c>
      <c r="R216" s="5">
        <v>1.98948554025198</v>
      </c>
      <c r="S216" s="5">
        <v>2.3769856166341699</v>
      </c>
      <c r="T216" s="5">
        <v>1.7798535639217601</v>
      </c>
      <c r="U216" s="5">
        <v>0.75579405855224002</v>
      </c>
      <c r="V216" s="5">
        <v>4.7344111775848203</v>
      </c>
      <c r="W216" s="5">
        <v>5.0099215429760298</v>
      </c>
      <c r="X216" s="5">
        <v>-6.3324497602857104</v>
      </c>
      <c r="Y216" s="5">
        <v>-7.8169506018872896</v>
      </c>
      <c r="Z216" s="5">
        <v>8.4680167680800107</v>
      </c>
      <c r="AA216" s="5">
        <v>6.1392632757021399</v>
      </c>
      <c r="AB216" s="5">
        <v>5.3508687909833004</v>
      </c>
      <c r="AC216" s="5">
        <v>1.74239524880791</v>
      </c>
      <c r="AD216" s="7"/>
    </row>
    <row r="218" spans="1:30" x14ac:dyDescent="0.3">
      <c r="A218" s="1" t="s">
        <v>121</v>
      </c>
    </row>
  </sheetData>
  <mergeCells count="6">
    <mergeCell ref="A1:AC1"/>
    <mergeCell ref="A2:AC2"/>
    <mergeCell ref="A3:A4"/>
    <mergeCell ref="B3:B4"/>
    <mergeCell ref="C3:C4"/>
    <mergeCell ref="D3:D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1. Données_IDE_PIB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Davy Souli</dc:creator>
  <cp:lastModifiedBy>Davy Souli</cp:lastModifiedBy>
  <dcterms:created xsi:type="dcterms:W3CDTF">2026-05-24T14:04:15Z</dcterms:created>
  <dcterms:modified xsi:type="dcterms:W3CDTF">2026-09-24T17:37:17Z</dcterms:modified>
</cp:coreProperties>
</file>